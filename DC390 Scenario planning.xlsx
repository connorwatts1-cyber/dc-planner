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https://iweof-my.sharepoint.com/personal/connor_watts1_ingka_ikea_com/Documents/Documents/"/>
    </mc:Choice>
  </mc:AlternateContent>
  <xr:revisionPtr revIDLastSave="801" documentId="8_{FD7D9D1F-4174-4A86-B76A-38B8BC7863FB}" xr6:coauthVersionLast="47" xr6:coauthVersionMax="47" xr10:uidLastSave="{BABC3255-E899-41DA-9F38-252A2A057F78}"/>
  <bookViews>
    <workbookView xWindow="-110" yWindow="-110" windowWidth="19420" windowHeight="10420" tabRatio="676" xr2:uid="{42781513-1C38-4E7B-9DFC-F3E7ABC5B768}"/>
  </bookViews>
  <sheets>
    <sheet name="DC General" sheetId="1" r:id="rId1"/>
  </sheets>
  <definedNames>
    <definedName name="ARC">'DC General'!$C:$E</definedName>
    <definedName name="_xlnm.Print_Area" localSheetId="0">'DC General'!$A$1:$N$85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7" i="1"/>
  <c r="I54" i="1"/>
</calcChain>
</file>

<file path=xl/sharedStrings.xml><?xml version="1.0" encoding="utf-8"?>
<sst xmlns="http://schemas.openxmlformats.org/spreadsheetml/2006/main" count="460" uniqueCount="126">
  <si>
    <t>IKEA Doncaster 390</t>
  </si>
  <si>
    <t>General DC Sheet</t>
  </si>
  <si>
    <t>ACTION PLAN for different Volume scenarios</t>
  </si>
  <si>
    <t>Can be made for total DC or on department level if that is needed</t>
  </si>
  <si>
    <t>Day to day</t>
  </si>
  <si>
    <t>Description</t>
  </si>
  <si>
    <t>ARC</t>
  </si>
  <si>
    <t>(-) Volume change %</t>
  </si>
  <si>
    <t xml:space="preserve"> (+) Volume change %</t>
  </si>
  <si>
    <t xml:space="preserve"> Script</t>
  </si>
  <si>
    <t>Volume</t>
  </si>
  <si>
    <t>Daily Scenario plan</t>
  </si>
  <si>
    <t>A</t>
  </si>
  <si>
    <t>R</t>
  </si>
  <si>
    <t>C</t>
  </si>
  <si>
    <t>Day to day script</t>
  </si>
  <si>
    <t>Check non-operational areas if there is a support need and determine the number of heads</t>
  </si>
  <si>
    <t>FROM</t>
  </si>
  <si>
    <t>FROTL</t>
  </si>
  <si>
    <t>COWORKER</t>
  </si>
  <si>
    <t>x</t>
  </si>
  <si>
    <t xml:space="preserve">As today is low we will be quieter than expected, and as such we will:
 . Be supporting over functions such as product quality, recovery, booking office
. Trainings will be moved forward 
. We will speak with the skills partners to support multiskilling
. Please ensure in this period you log onto a pc and ensure any mandatory trainings are completed
. If you would like to take any unpaid holidays or move any paid holidays forward now is a good time
. There may also be additional maintenance activities on site. </t>
  </si>
  <si>
    <t>Pull any MHE training forward</t>
  </si>
  <si>
    <t>Pull any fire marshal/ first aid training forward</t>
  </si>
  <si>
    <t>Speak with skills buddies to multiskilling coworkers into other areas</t>
  </si>
  <si>
    <t>Check with local stores to offer support</t>
  </si>
  <si>
    <t>Offer unpaid holidays/ bring paid holidays forward</t>
  </si>
  <si>
    <t>Complete Talent for all talks</t>
  </si>
  <si>
    <t>Complete MyLearning trainings</t>
  </si>
  <si>
    <t>Upskilling and development, visits to other units and prioritise team meetings</t>
  </si>
  <si>
    <t>Log unproductive hours</t>
  </si>
  <si>
    <t>Pull forward any maintenance possible</t>
  </si>
  <si>
    <t>Non operational support needed, checking headcount tracker</t>
  </si>
  <si>
    <t xml:space="preserve">As today is high and we are busier than expected and as such we will be:
 . Calling on other functions for support
. We will be reviewing those functions to ascertain whether to close
. Overtime may also be available
. We may look to extend on Saturday and Sunday
. All classroom based training will also be postponed 
 . All leaders that are able will be supporting on trucks
.   Office staff will be supporting with banding, sweeping etc. </t>
  </si>
  <si>
    <t>Consult coworkers with current holidays to see if they can be moved</t>
  </si>
  <si>
    <t>Close Recovery</t>
  </si>
  <si>
    <t>Close Invent</t>
  </si>
  <si>
    <t>Pause MHE Training (Except refreshers)</t>
  </si>
  <si>
    <t>Close MHE Training (Except refreshers)</t>
  </si>
  <si>
    <t>Offer overtime</t>
  </si>
  <si>
    <t>Offer overtime to TLs and specialists (paid, dependant on skill need)</t>
  </si>
  <si>
    <t>Adjust site working hours e.g. Saturday working extension</t>
  </si>
  <si>
    <t>Close classroom trainings</t>
  </si>
  <si>
    <t>All team leaders on trucks</t>
  </si>
  <si>
    <t>Make sure all resource is captured in the resource board</t>
  </si>
  <si>
    <t>All office staff in the operation, banding, sweeping Total DC approach etc</t>
  </si>
  <si>
    <t>COWORKER/ SPECIALIST</t>
  </si>
  <si>
    <t>Staff Cost</t>
  </si>
  <si>
    <t>Forecast</t>
  </si>
  <si>
    <t>Mid-long term Actions plan Staff Cost</t>
  </si>
  <si>
    <t>Staff cost script</t>
  </si>
  <si>
    <t xml:space="preserve">Freeze recruitment </t>
  </si>
  <si>
    <t>UNIT MANAGER</t>
  </si>
  <si>
    <t>P&amp;C</t>
  </si>
  <si>
    <t>SSG</t>
  </si>
  <si>
    <t>As you know, volume has been lower than expected as of recent and as such the following actions will take place:
. We will be putting a freeze on recruitment, and not replacing any leavers
. There will be opportunities to work in other suits on a borrowed resource basis
. Unpaid leave will be offered
. This will be a good chance to upskill coworkers using walk my shoes
. External development opportunities will be made available
. if there is any contract sizes/ shift patterns that can be reviewed now is the time
. Opening times for the site will also be reviewed and may be shortened during this period</t>
  </si>
  <si>
    <t>Time in motion for departments</t>
  </si>
  <si>
    <t>Offer borrowed resource to nearby units</t>
  </si>
  <si>
    <t>Offer unpaid leave</t>
  </si>
  <si>
    <t>Plan any trainings &amp; development</t>
  </si>
  <si>
    <t>TL</t>
  </si>
  <si>
    <t xml:space="preserve">Walk my shoes </t>
  </si>
  <si>
    <t xml:space="preserve">Adjust shift patterns and reduce contracts </t>
  </si>
  <si>
    <t>Adjust opening time to reduce</t>
  </si>
  <si>
    <t xml:space="preserve">Identify external development opportunities </t>
  </si>
  <si>
    <t xml:space="preserve">Review structure </t>
  </si>
  <si>
    <t>Open recruitment</t>
  </si>
  <si>
    <t>As you know we have been busier than expected for a period of time and as such the following actions will take place:
. We will open recruitment
. We will do time in motion for departments to prioritise resource need
. We will call on other units for support
. We will start to look at our operating structure
. We will review our opening times and look to extend 
. If anyone would like contract increases then we will look to do this now
. Only mandatory trainings will be prioritised</t>
  </si>
  <si>
    <t xml:space="preserve">Secure resource from other units </t>
  </si>
  <si>
    <t>Consult coworkers with holidays to see if they can be moved</t>
  </si>
  <si>
    <t>Review structure</t>
  </si>
  <si>
    <t>Review opening times to extend</t>
  </si>
  <si>
    <t xml:space="preserve">Adjust shift patterns and increase contracts </t>
  </si>
  <si>
    <t>Prioritise mandatory trainings only (MHE and classroom)</t>
  </si>
  <si>
    <t>Ops Cost</t>
  </si>
  <si>
    <t>Mid-long term  Actions plan OPS Cost</t>
  </si>
  <si>
    <t>Ops cost script</t>
  </si>
  <si>
    <t>Review and reduce restaurant opening times</t>
  </si>
  <si>
    <t>FOOD SSG</t>
  </si>
  <si>
    <t>As you know we have been quieter than expected and as such the following actions will take place:
. We will review our restaurant opening times and reduce our food order
. We will review our waste collection schedule
. Reduce consumables spend
. Review the facilities workplan and prioritise
. We will review and reduce our operational opening times
. We will review and reduce our assets, such as MHE 
. We will work with our partners in transport to look at the hauliers planning
. We will review our planning to account for the reduced open times
. We will look to reduce the contractors and cleaners on site</t>
  </si>
  <si>
    <t xml:space="preserve">Reduce food order </t>
  </si>
  <si>
    <t>FOOD CWKKR</t>
  </si>
  <si>
    <t xml:space="preserve">Reduce the waste collection schedule </t>
  </si>
  <si>
    <t>Reduce consumables</t>
  </si>
  <si>
    <t>Review facilities workplan and prioritise only essential works</t>
  </si>
  <si>
    <t>FACILITIES SSG</t>
  </si>
  <si>
    <t>Review operational opening times</t>
  </si>
  <si>
    <t xml:space="preserve">Review and reduce assets </t>
  </si>
  <si>
    <t>FACILITIES</t>
  </si>
  <si>
    <t xml:space="preserve">Look at planning for hauliers </t>
  </si>
  <si>
    <t>TRANSPORT</t>
  </si>
  <si>
    <t xml:space="preserve">Look to close a house(s) </t>
  </si>
  <si>
    <t>Look at planning for in/outbound to account for reduced open times</t>
  </si>
  <si>
    <t>Reduce on call times</t>
  </si>
  <si>
    <t>Look at reducing contractors and cleaners</t>
  </si>
  <si>
    <t>CONTRACTOR</t>
  </si>
  <si>
    <t>Increase food order</t>
  </si>
  <si>
    <t>As you know we have been busier than expected for a period of time and as such the following actions will take place:
. We will look to increase our food order to account for the extra recruitment that is taking place
. We will increase our waste collection schedule and consumables order
. We will prioritise only essential facilities works
. Increase our operational open times e.g. Saturday working
. We will look to increase our assets such as MHE
. We will speak with transport to increase our trailer pool 
. We will look to introduce new automations to support the operation</t>
  </si>
  <si>
    <t>Increase waste collection</t>
  </si>
  <si>
    <t>Increase consumables/ HM</t>
  </si>
  <si>
    <t>Prioritise only essential facilities works</t>
  </si>
  <si>
    <t>Increase operational opening times e.g. Saturday working</t>
  </si>
  <si>
    <t>Review and increase assets</t>
  </si>
  <si>
    <t>Speak with transport to increase trailer pool</t>
  </si>
  <si>
    <t>Review and introduce automations</t>
  </si>
  <si>
    <t>FACILITIES/ NAV</t>
  </si>
  <si>
    <t>Capacity</t>
  </si>
  <si>
    <t>Mid-long term Actions plan Capacity</t>
  </si>
  <si>
    <t>Capacity Script</t>
  </si>
  <si>
    <t>Look to close a house(s)</t>
  </si>
  <si>
    <t>As you know we have been quieter than expected for an extended period of time and as such the following actions will take place:
. We will look to close a house or multiple houses depending on the need
. We will review our logistical set up in line with said closures</t>
  </si>
  <si>
    <t>Logistical setup review to account for lower than expected volume</t>
  </si>
  <si>
    <t>PROCESS DEV</t>
  </si>
  <si>
    <t>ALL SPECIALISTS</t>
  </si>
  <si>
    <t>Logistical setup review to account for increased volume</t>
  </si>
  <si>
    <t>As you know we have been busier than expected for an extended period of time and as such the following actions will take place:
. We ill review our logistical set up to account for the increased volume
.We will look to review our yard, how we are set up and what the need is
. We will look at external storage solutions both for the internal building and the yard</t>
  </si>
  <si>
    <t>Look at external storage solutions for yard</t>
  </si>
  <si>
    <t>Review yard set up</t>
  </si>
  <si>
    <t>Look at external storage solutions for building</t>
  </si>
  <si>
    <t>Version Number</t>
  </si>
  <si>
    <t>Review Date</t>
  </si>
  <si>
    <t>Reviewed By</t>
  </si>
  <si>
    <t>Approved by</t>
  </si>
  <si>
    <t>Approved date</t>
  </si>
  <si>
    <t>V 1.0</t>
  </si>
  <si>
    <t>Connor Watts &amp; Gemma Edwards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</si>
</sst>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k_r_-;\-* #,##0.00\ _k_r_-;_-* &quot;-&quot;??\ _k_r_-;_-@_-"/>
    <numFmt numFmtId="165" formatCode="0.0"/>
    <numFmt numFmtId="166" formatCode="0.0%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Noto IKEA Latin"/>
      <family val="2"/>
    </font>
    <font>
      <b/>
      <sz val="10"/>
      <name val="Noto IKEA Latin"/>
      <family val="2"/>
    </font>
    <font>
      <b/>
      <sz val="24"/>
      <name val="Noto IKEA Latin"/>
      <family val="2"/>
    </font>
    <font>
      <b/>
      <sz val="12"/>
      <name val="Noto IKEA Latin"/>
      <family val="2"/>
    </font>
    <font>
      <sz val="10"/>
      <color indexed="9"/>
      <name val="Noto IKEA Latin"/>
      <family val="2"/>
    </font>
    <font>
      <b/>
      <sz val="16"/>
      <name val="Noto IKEA Latin"/>
      <family val="2"/>
    </font>
    <font>
      <b/>
      <sz val="10"/>
      <color theme="0"/>
      <name val="Noto IKEA Latin"/>
      <family val="2"/>
    </font>
    <font>
      <b/>
      <sz val="12"/>
      <color theme="1"/>
      <name val="Noto IKEA Latin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3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3" fontId="8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6" fillId="2" borderId="5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3" fontId="6" fillId="4" borderId="6" xfId="0" applyNumberFormat="1" applyFont="1" applyFill="1" applyBorder="1" applyAlignment="1">
      <alignment horizontal="center"/>
    </xf>
    <xf numFmtId="0" fontId="3" fillId="0" borderId="14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0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6" fontId="3" fillId="0" borderId="0" xfId="2" applyNumberFormat="1" applyFont="1" applyFill="1" applyBorder="1" applyAlignment="1">
      <alignment horizontal="center"/>
    </xf>
    <xf numFmtId="0" fontId="4" fillId="0" borderId="15" xfId="0" applyFont="1" applyBorder="1"/>
    <xf numFmtId="0" fontId="3" fillId="0" borderId="15" xfId="0" applyFont="1" applyBorder="1" applyAlignment="1">
      <alignment wrapText="1"/>
    </xf>
    <xf numFmtId="14" fontId="3" fillId="0" borderId="15" xfId="0" applyNumberFormat="1" applyFont="1" applyBorder="1" applyAlignment="1">
      <alignment wrapText="1"/>
    </xf>
    <xf numFmtId="166" fontId="9" fillId="4" borderId="2" xfId="2" applyNumberFormat="1" applyFont="1" applyFill="1" applyBorder="1" applyAlignment="1">
      <alignment horizontal="center"/>
    </xf>
    <xf numFmtId="166" fontId="9" fillId="4" borderId="1" xfId="2" applyNumberFormat="1" applyFont="1" applyFill="1" applyBorder="1" applyAlignment="1">
      <alignment horizontal="center"/>
    </xf>
    <xf numFmtId="166" fontId="9" fillId="4" borderId="3" xfId="2" applyNumberFormat="1" applyFont="1" applyFill="1" applyBorder="1" applyAlignment="1">
      <alignment horizontal="center"/>
    </xf>
    <xf numFmtId="0" fontId="9" fillId="4" borderId="1" xfId="1" applyNumberFormat="1" applyFont="1" applyFill="1" applyBorder="1" applyAlignment="1">
      <alignment horizontal="center"/>
    </xf>
    <xf numFmtId="3" fontId="9" fillId="4" borderId="1" xfId="0" applyNumberFormat="1" applyFont="1" applyFill="1" applyBorder="1" applyAlignment="1">
      <alignment horizontal="center"/>
    </xf>
    <xf numFmtId="166" fontId="9" fillId="6" borderId="2" xfId="2" applyNumberFormat="1" applyFont="1" applyFill="1" applyBorder="1" applyAlignment="1">
      <alignment horizontal="center"/>
    </xf>
    <xf numFmtId="166" fontId="9" fillId="3" borderId="2" xfId="2" applyNumberFormat="1" applyFont="1" applyFill="1" applyBorder="1" applyAlignment="1">
      <alignment horizontal="center"/>
    </xf>
    <xf numFmtId="166" fontId="9" fillId="5" borderId="2" xfId="2" applyNumberFormat="1" applyFont="1" applyFill="1" applyBorder="1" applyAlignment="1">
      <alignment horizontal="center"/>
    </xf>
    <xf numFmtId="166" fontId="9" fillId="6" borderId="1" xfId="2" applyNumberFormat="1" applyFont="1" applyFill="1" applyBorder="1" applyAlignment="1">
      <alignment horizontal="center"/>
    </xf>
    <xf numFmtId="166" fontId="9" fillId="3" borderId="1" xfId="2" applyNumberFormat="1" applyFont="1" applyFill="1" applyBorder="1" applyAlignment="1">
      <alignment horizontal="center"/>
    </xf>
    <xf numFmtId="166" fontId="9" fillId="5" borderId="1" xfId="2" applyNumberFormat="1" applyFont="1" applyFill="1" applyBorder="1" applyAlignment="1">
      <alignment horizontal="center"/>
    </xf>
    <xf numFmtId="166" fontId="9" fillId="6" borderId="3" xfId="2" applyNumberFormat="1" applyFont="1" applyFill="1" applyBorder="1" applyAlignment="1">
      <alignment horizontal="center"/>
    </xf>
    <xf numFmtId="166" fontId="9" fillId="3" borderId="3" xfId="2" applyNumberFormat="1" applyFont="1" applyFill="1" applyBorder="1" applyAlignment="1">
      <alignment horizontal="center"/>
    </xf>
    <xf numFmtId="166" fontId="9" fillId="5" borderId="3" xfId="2" applyNumberFormat="1" applyFont="1" applyFill="1" applyBorder="1" applyAlignment="1">
      <alignment horizontal="center"/>
    </xf>
    <xf numFmtId="0" fontId="9" fillId="3" borderId="1" xfId="1" applyNumberFormat="1" applyFont="1" applyFill="1" applyBorder="1" applyAlignment="1">
      <alignment horizontal="center"/>
    </xf>
    <xf numFmtId="1" fontId="9" fillId="3" borderId="1" xfId="1" applyNumberFormat="1" applyFont="1" applyFill="1" applyBorder="1" applyAlignment="1">
      <alignment horizontal="center"/>
    </xf>
    <xf numFmtId="1" fontId="9" fillId="5" borderId="1" xfId="1" applyNumberFormat="1" applyFont="1" applyFill="1" applyBorder="1" applyAlignment="1">
      <alignment horizontal="center"/>
    </xf>
    <xf numFmtId="1" fontId="9" fillId="3" borderId="1" xfId="2" applyNumberFormat="1" applyFont="1" applyFill="1" applyBorder="1" applyAlignment="1">
      <alignment horizontal="center"/>
    </xf>
    <xf numFmtId="1" fontId="9" fillId="5" borderId="1" xfId="2" applyNumberFormat="1" applyFont="1" applyFill="1" applyBorder="1" applyAlignment="1">
      <alignment horizontal="center"/>
    </xf>
    <xf numFmtId="1" fontId="9" fillId="6" borderId="1" xfId="2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3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1" fontId="9" fillId="6" borderId="1" xfId="1" applyNumberFormat="1" applyFont="1" applyFill="1" applyBorder="1" applyAlignment="1">
      <alignment horizontal="center"/>
    </xf>
    <xf numFmtId="165" fontId="9" fillId="6" borderId="1" xfId="1" applyNumberFormat="1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3" fontId="9" fillId="4" borderId="2" xfId="0" applyNumberFormat="1" applyFont="1" applyFill="1" applyBorder="1" applyAlignment="1">
      <alignment horizontal="center"/>
    </xf>
    <xf numFmtId="3" fontId="9" fillId="3" borderId="2" xfId="0" applyNumberFormat="1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3" fontId="9" fillId="4" borderId="3" xfId="0" applyNumberFormat="1" applyFont="1" applyFill="1" applyBorder="1" applyAlignment="1">
      <alignment horizontal="center"/>
    </xf>
    <xf numFmtId="3" fontId="9" fillId="3" borderId="3" xfId="0" applyNumberFormat="1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 vertical="top"/>
    </xf>
    <xf numFmtId="3" fontId="10" fillId="4" borderId="6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 textRotation="255"/>
    </xf>
    <xf numFmtId="0" fontId="6" fillId="2" borderId="2" xfId="0" applyFont="1" applyFill="1" applyBorder="1" applyAlignment="1">
      <alignment horizontal="center" vertical="center" textRotation="255"/>
    </xf>
    <xf numFmtId="0" fontId="6" fillId="2" borderId="1" xfId="0" applyFont="1" applyFill="1" applyBorder="1" applyAlignment="1">
      <alignment horizontal="center" vertical="center" textRotation="255"/>
    </xf>
    <xf numFmtId="0" fontId="6" fillId="0" borderId="1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textRotation="255"/>
    </xf>
    <xf numFmtId="0" fontId="4" fillId="2" borderId="3" xfId="0" applyFont="1" applyFill="1" applyBorder="1" applyAlignment="1">
      <alignment horizontal="center" vertical="center" textRotation="255"/>
    </xf>
    <xf numFmtId="9" fontId="10" fillId="4" borderId="2" xfId="2" applyFont="1" applyFill="1" applyBorder="1" applyAlignment="1">
      <alignment horizontal="center" vertical="center"/>
    </xf>
    <xf numFmtId="9" fontId="10" fillId="4" borderId="3" xfId="2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9" fontId="10" fillId="6" borderId="2" xfId="0" quotePrefix="1" applyNumberFormat="1" applyFont="1" applyFill="1" applyBorder="1" applyAlignment="1">
      <alignment horizontal="center" vertical="center"/>
    </xf>
    <xf numFmtId="9" fontId="10" fillId="6" borderId="3" xfId="0" quotePrefix="1" applyNumberFormat="1" applyFont="1" applyFill="1" applyBorder="1" applyAlignment="1">
      <alignment horizontal="center" vertical="center"/>
    </xf>
    <xf numFmtId="9" fontId="10" fillId="3" borderId="2" xfId="0" applyNumberFormat="1" applyFont="1" applyFill="1" applyBorder="1" applyAlignment="1">
      <alignment horizontal="center" vertical="center"/>
    </xf>
    <xf numFmtId="9" fontId="10" fillId="3" borderId="3" xfId="0" applyNumberFormat="1" applyFont="1" applyFill="1" applyBorder="1" applyAlignment="1">
      <alignment horizontal="center" vertical="center"/>
    </xf>
    <xf numFmtId="9" fontId="10" fillId="3" borderId="2" xfId="0" quotePrefix="1" applyNumberFormat="1" applyFont="1" applyFill="1" applyBorder="1" applyAlignment="1">
      <alignment horizontal="center" vertical="center"/>
    </xf>
    <xf numFmtId="9" fontId="10" fillId="3" borderId="3" xfId="0" quotePrefix="1" applyNumberFormat="1" applyFont="1" applyFill="1" applyBorder="1" applyAlignment="1">
      <alignment horizontal="center" vertical="center"/>
    </xf>
    <xf numFmtId="9" fontId="10" fillId="5" borderId="2" xfId="0" quotePrefix="1" applyNumberFormat="1" applyFont="1" applyFill="1" applyBorder="1" applyAlignment="1">
      <alignment horizontal="center" vertical="center"/>
    </xf>
    <xf numFmtId="9" fontId="10" fillId="5" borderId="3" xfId="0" quotePrefix="1" applyNumberFormat="1" applyFont="1" applyFill="1" applyBorder="1" applyAlignment="1">
      <alignment horizontal="center" vertical="center"/>
    </xf>
    <xf numFmtId="9" fontId="10" fillId="6" borderId="2" xfId="2" quotePrefix="1" applyFont="1" applyFill="1" applyBorder="1" applyAlignment="1">
      <alignment horizontal="center" vertical="center"/>
    </xf>
    <xf numFmtId="9" fontId="10" fillId="6" borderId="3" xfId="2" quotePrefix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184F-FECF-4A55-B3B9-49CDEE5A4934}">
  <sheetPr>
    <pageSetUpPr fitToPage="1"/>
  </sheetPr>
  <dimension ref="A1:N100"/>
  <sheetViews>
    <sheetView showGridLines="0" tabSelected="1" zoomScale="62" zoomScaleNormal="80" workbookViewId="0">
      <selection activeCell="B31" sqref="B31"/>
    </sheetView>
  </sheetViews>
  <sheetFormatPr defaultColWidth="8.7109375" defaultRowHeight="15" outlineLevelCol="1"/>
  <cols>
    <col min="1" max="1" width="4.5703125" style="1" customWidth="1"/>
    <col min="2" max="2" width="81.5703125" style="3" bestFit="1" customWidth="1"/>
    <col min="3" max="4" width="17" style="3" hidden="1" customWidth="1" outlineLevel="1"/>
    <col min="5" max="5" width="24.140625" style="3" hidden="1" customWidth="1" outlineLevel="1"/>
    <col min="6" max="6" width="14.7109375" style="3" bestFit="1" customWidth="1" collapsed="1"/>
    <col min="7" max="7" width="14.140625" style="3" bestFit="1" customWidth="1"/>
    <col min="8" max="8" width="14.7109375" style="3" bestFit="1" customWidth="1"/>
    <col min="9" max="9" width="17.85546875" style="4" bestFit="1" customWidth="1"/>
    <col min="10" max="10" width="14.140625" style="4" bestFit="1" customWidth="1"/>
    <col min="11" max="11" width="15.42578125" style="3" bestFit="1" customWidth="1"/>
    <col min="12" max="12" width="14.140625" style="3" bestFit="1" customWidth="1"/>
    <col min="13" max="13" width="73.5703125" style="3" customWidth="1"/>
    <col min="14" max="14" width="4.5703125" style="1" customWidth="1"/>
    <col min="15" max="15" width="8.7109375" style="3"/>
    <col min="16" max="16" width="13.5703125" style="3" bestFit="1" customWidth="1"/>
    <col min="17" max="17" width="11" style="3" bestFit="1" customWidth="1"/>
    <col min="18" max="18" width="23" style="3" bestFit="1" customWidth="1"/>
    <col min="19" max="19" width="6.85546875" style="3" bestFit="1" customWidth="1"/>
    <col min="20" max="20" width="7.85546875" style="3" bestFit="1" customWidth="1"/>
    <col min="21" max="21" width="11.28515625" style="3" bestFit="1" customWidth="1"/>
    <col min="22" max="22" width="13.5703125" style="3" bestFit="1" customWidth="1"/>
    <col min="23" max="16384" width="8.7109375" style="3"/>
  </cols>
  <sheetData>
    <row r="1" spans="1:14" ht="34.5">
      <c r="B1" s="2" t="s">
        <v>0</v>
      </c>
      <c r="C1" s="2"/>
      <c r="D1" s="2"/>
      <c r="E1" s="2"/>
      <c r="M1" s="2"/>
      <c r="N1" s="5"/>
    </row>
    <row r="2" spans="1:14" ht="18.75" customHeight="1">
      <c r="B2" s="6" t="s">
        <v>1</v>
      </c>
      <c r="C2" s="6"/>
      <c r="D2" s="6"/>
      <c r="E2" s="6"/>
      <c r="I2" s="7"/>
      <c r="J2" s="7"/>
    </row>
    <row r="3" spans="1:14" ht="13.5" customHeight="1">
      <c r="I3" s="7"/>
      <c r="J3" s="7"/>
    </row>
    <row r="4" spans="1:14" s="9" customFormat="1" ht="22.5">
      <c r="A4" s="8"/>
      <c r="B4" s="9" t="s">
        <v>2</v>
      </c>
      <c r="I4" s="10"/>
      <c r="J4" s="10"/>
      <c r="N4" s="8"/>
    </row>
    <row r="5" spans="1:14" ht="20.25" customHeight="1" thickBot="1">
      <c r="B5" s="11" t="s">
        <v>3</v>
      </c>
      <c r="C5" s="11"/>
      <c r="D5" s="11"/>
      <c r="E5" s="11"/>
    </row>
    <row r="6" spans="1:14" ht="16.5" customHeight="1" thickBot="1">
      <c r="A6" s="79" t="s">
        <v>4</v>
      </c>
      <c r="B6" s="12" t="s">
        <v>5</v>
      </c>
      <c r="C6" s="108" t="s">
        <v>6</v>
      </c>
      <c r="D6" s="109"/>
      <c r="E6" s="110"/>
      <c r="F6" s="108" t="s">
        <v>7</v>
      </c>
      <c r="G6" s="109"/>
      <c r="H6" s="110"/>
      <c r="I6" s="14" t="str">
        <f>I33</f>
        <v>Forecast</v>
      </c>
      <c r="J6" s="108" t="s">
        <v>8</v>
      </c>
      <c r="K6" s="109"/>
      <c r="L6" s="110"/>
      <c r="M6" s="13" t="s">
        <v>9</v>
      </c>
      <c r="N6" s="79" t="s">
        <v>10</v>
      </c>
    </row>
    <row r="7" spans="1:14" ht="15.6" customHeight="1">
      <c r="A7" s="80"/>
      <c r="B7" s="94" t="s">
        <v>11</v>
      </c>
      <c r="C7" s="96" t="s">
        <v>12</v>
      </c>
      <c r="D7" s="96" t="s">
        <v>13</v>
      </c>
      <c r="E7" s="96" t="s">
        <v>14</v>
      </c>
      <c r="F7" s="98">
        <v>-0.35</v>
      </c>
      <c r="G7" s="98">
        <v>-0.3</v>
      </c>
      <c r="H7" s="106">
        <v>-0.2</v>
      </c>
      <c r="I7" s="90">
        <v>0</v>
      </c>
      <c r="J7" s="100">
        <v>0.2</v>
      </c>
      <c r="K7" s="102">
        <v>0.3</v>
      </c>
      <c r="L7" s="104">
        <v>0.35</v>
      </c>
      <c r="M7" s="92" t="s">
        <v>15</v>
      </c>
      <c r="N7" s="80"/>
    </row>
    <row r="8" spans="1:14" ht="13.5" customHeight="1" thickBot="1">
      <c r="A8" s="80"/>
      <c r="B8" s="95"/>
      <c r="C8" s="97"/>
      <c r="D8" s="97"/>
      <c r="E8" s="97"/>
      <c r="F8" s="99"/>
      <c r="G8" s="99"/>
      <c r="H8" s="107"/>
      <c r="I8" s="91"/>
      <c r="J8" s="101"/>
      <c r="K8" s="103"/>
      <c r="L8" s="105"/>
      <c r="M8" s="93"/>
      <c r="N8" s="80"/>
    </row>
    <row r="9" spans="1:14">
      <c r="A9" s="80"/>
      <c r="B9" s="15" t="s">
        <v>16</v>
      </c>
      <c r="C9" s="68" t="s">
        <v>17</v>
      </c>
      <c r="D9" s="68" t="s">
        <v>18</v>
      </c>
      <c r="E9" s="68" t="s">
        <v>19</v>
      </c>
      <c r="F9" s="34" t="s">
        <v>20</v>
      </c>
      <c r="G9" s="34" t="s">
        <v>20</v>
      </c>
      <c r="H9" s="34" t="s">
        <v>20</v>
      </c>
      <c r="I9" s="29"/>
      <c r="J9" s="35"/>
      <c r="K9" s="35"/>
      <c r="L9" s="36"/>
      <c r="M9" s="111" t="s">
        <v>21</v>
      </c>
      <c r="N9" s="80"/>
    </row>
    <row r="10" spans="1:14">
      <c r="A10" s="80"/>
      <c r="B10" s="16" t="s">
        <v>22</v>
      </c>
      <c r="C10" s="69" t="s">
        <v>17</v>
      </c>
      <c r="D10" s="69" t="s">
        <v>18</v>
      </c>
      <c r="E10" s="69" t="s">
        <v>19</v>
      </c>
      <c r="F10" s="37" t="s">
        <v>20</v>
      </c>
      <c r="G10" s="37" t="s">
        <v>20</v>
      </c>
      <c r="H10" s="37"/>
      <c r="I10" s="30"/>
      <c r="J10" s="38"/>
      <c r="K10" s="38"/>
      <c r="L10" s="39"/>
      <c r="M10" s="112"/>
      <c r="N10" s="80"/>
    </row>
    <row r="11" spans="1:14">
      <c r="A11" s="80"/>
      <c r="B11" s="16" t="s">
        <v>23</v>
      </c>
      <c r="C11" s="69" t="s">
        <v>17</v>
      </c>
      <c r="D11" s="69" t="s">
        <v>18</v>
      </c>
      <c r="E11" s="69" t="s">
        <v>19</v>
      </c>
      <c r="F11" s="37" t="s">
        <v>20</v>
      </c>
      <c r="G11" s="37" t="s">
        <v>20</v>
      </c>
      <c r="H11" s="37"/>
      <c r="I11" s="30"/>
      <c r="J11" s="38"/>
      <c r="K11" s="38"/>
      <c r="L11" s="39"/>
      <c r="M11" s="112"/>
      <c r="N11" s="80"/>
    </row>
    <row r="12" spans="1:14">
      <c r="A12" s="80"/>
      <c r="B12" s="16" t="s">
        <v>24</v>
      </c>
      <c r="C12" s="69" t="s">
        <v>17</v>
      </c>
      <c r="D12" s="69" t="s">
        <v>18</v>
      </c>
      <c r="E12" s="69" t="s">
        <v>19</v>
      </c>
      <c r="F12" s="37" t="s">
        <v>20</v>
      </c>
      <c r="G12" s="37" t="s">
        <v>20</v>
      </c>
      <c r="H12" s="37" t="s">
        <v>20</v>
      </c>
      <c r="I12" s="30"/>
      <c r="J12" s="38"/>
      <c r="K12" s="38"/>
      <c r="L12" s="39"/>
      <c r="M12" s="112"/>
      <c r="N12" s="80"/>
    </row>
    <row r="13" spans="1:14">
      <c r="A13" s="80"/>
      <c r="B13" s="16" t="s">
        <v>25</v>
      </c>
      <c r="C13" s="69" t="s">
        <v>17</v>
      </c>
      <c r="D13" s="69" t="s">
        <v>18</v>
      </c>
      <c r="E13" s="69" t="s">
        <v>19</v>
      </c>
      <c r="F13" s="37" t="s">
        <v>20</v>
      </c>
      <c r="G13" s="37"/>
      <c r="H13" s="37"/>
      <c r="I13" s="30"/>
      <c r="J13" s="38"/>
      <c r="K13" s="38"/>
      <c r="L13" s="39"/>
      <c r="M13" s="112"/>
      <c r="N13" s="80"/>
    </row>
    <row r="14" spans="1:14">
      <c r="A14" s="80"/>
      <c r="B14" s="16" t="s">
        <v>26</v>
      </c>
      <c r="C14" s="69" t="s">
        <v>17</v>
      </c>
      <c r="D14" s="69" t="s">
        <v>18</v>
      </c>
      <c r="E14" s="69" t="s">
        <v>19</v>
      </c>
      <c r="F14" s="37" t="s">
        <v>20</v>
      </c>
      <c r="G14" s="37" t="s">
        <v>20</v>
      </c>
      <c r="H14" s="37"/>
      <c r="I14" s="30"/>
      <c r="J14" s="38"/>
      <c r="K14" s="38"/>
      <c r="L14" s="39"/>
      <c r="M14" s="112"/>
      <c r="N14" s="80"/>
    </row>
    <row r="15" spans="1:14">
      <c r="A15" s="80"/>
      <c r="B15" s="16" t="s">
        <v>27</v>
      </c>
      <c r="C15" s="69" t="s">
        <v>17</v>
      </c>
      <c r="D15" s="69" t="s">
        <v>18</v>
      </c>
      <c r="E15" s="69" t="s">
        <v>19</v>
      </c>
      <c r="F15" s="37" t="s">
        <v>20</v>
      </c>
      <c r="G15" s="37" t="s">
        <v>20</v>
      </c>
      <c r="H15" s="37" t="s">
        <v>20</v>
      </c>
      <c r="I15" s="30"/>
      <c r="J15" s="38"/>
      <c r="K15" s="38"/>
      <c r="L15" s="39"/>
      <c r="M15" s="112"/>
      <c r="N15" s="80"/>
    </row>
    <row r="16" spans="1:14">
      <c r="A16" s="80"/>
      <c r="B16" s="16" t="s">
        <v>28</v>
      </c>
      <c r="C16" s="69" t="s">
        <v>17</v>
      </c>
      <c r="D16" s="69" t="s">
        <v>18</v>
      </c>
      <c r="E16" s="69" t="s">
        <v>19</v>
      </c>
      <c r="F16" s="37" t="s">
        <v>20</v>
      </c>
      <c r="G16" s="37" t="s">
        <v>20</v>
      </c>
      <c r="H16" s="37" t="s">
        <v>20</v>
      </c>
      <c r="I16" s="30"/>
      <c r="J16" s="38"/>
      <c r="K16" s="38"/>
      <c r="L16" s="39"/>
      <c r="M16" s="112"/>
      <c r="N16" s="80"/>
    </row>
    <row r="17" spans="1:14">
      <c r="A17" s="80"/>
      <c r="B17" s="16" t="s">
        <v>29</v>
      </c>
      <c r="C17" s="69" t="s">
        <v>17</v>
      </c>
      <c r="D17" s="69" t="s">
        <v>18</v>
      </c>
      <c r="E17" s="69" t="s">
        <v>19</v>
      </c>
      <c r="F17" s="37" t="s">
        <v>20</v>
      </c>
      <c r="G17" s="37"/>
      <c r="H17" s="37"/>
      <c r="I17" s="30"/>
      <c r="J17" s="38"/>
      <c r="K17" s="38"/>
      <c r="L17" s="39"/>
      <c r="M17" s="112"/>
      <c r="N17" s="80"/>
    </row>
    <row r="18" spans="1:14">
      <c r="A18" s="80"/>
      <c r="B18" s="16" t="s">
        <v>30</v>
      </c>
      <c r="C18" s="69" t="s">
        <v>17</v>
      </c>
      <c r="D18" s="69" t="s">
        <v>18</v>
      </c>
      <c r="E18" s="69" t="s">
        <v>19</v>
      </c>
      <c r="F18" s="37" t="s">
        <v>20</v>
      </c>
      <c r="G18" s="37" t="s">
        <v>20</v>
      </c>
      <c r="H18" s="37" t="s">
        <v>20</v>
      </c>
      <c r="I18" s="30"/>
      <c r="J18" s="38"/>
      <c r="K18" s="38"/>
      <c r="L18" s="39"/>
      <c r="M18" s="112"/>
      <c r="N18" s="80"/>
    </row>
    <row r="19" spans="1:14" ht="15.75" thickBot="1">
      <c r="A19" s="80"/>
      <c r="B19" s="17" t="s">
        <v>31</v>
      </c>
      <c r="C19" s="70" t="s">
        <v>17</v>
      </c>
      <c r="D19" s="70" t="s">
        <v>18</v>
      </c>
      <c r="E19" s="24" t="s">
        <v>19</v>
      </c>
      <c r="F19" s="40" t="s">
        <v>20</v>
      </c>
      <c r="G19" s="40"/>
      <c r="H19" s="40"/>
      <c r="I19" s="31"/>
      <c r="J19" s="41"/>
      <c r="K19" s="41"/>
      <c r="L19" s="42"/>
      <c r="M19" s="113"/>
      <c r="N19" s="80"/>
    </row>
    <row r="20" spans="1:14">
      <c r="A20" s="80"/>
      <c r="B20" s="18" t="s">
        <v>32</v>
      </c>
      <c r="C20" s="69" t="s">
        <v>17</v>
      </c>
      <c r="D20" s="69" t="s">
        <v>18</v>
      </c>
      <c r="E20" s="69" t="s">
        <v>19</v>
      </c>
      <c r="F20" s="37"/>
      <c r="G20" s="37"/>
      <c r="H20" s="37"/>
      <c r="I20" s="32"/>
      <c r="J20" s="43" t="s">
        <v>20</v>
      </c>
      <c r="K20" s="44" t="s">
        <v>20</v>
      </c>
      <c r="L20" s="45" t="s">
        <v>20</v>
      </c>
      <c r="M20" s="111" t="s">
        <v>33</v>
      </c>
      <c r="N20" s="80"/>
    </row>
    <row r="21" spans="1:14">
      <c r="A21" s="80"/>
      <c r="B21" s="3" t="s">
        <v>34</v>
      </c>
      <c r="C21" s="69" t="s">
        <v>17</v>
      </c>
      <c r="D21" s="69" t="s">
        <v>18</v>
      </c>
      <c r="E21" s="69" t="s">
        <v>19</v>
      </c>
      <c r="F21" s="37"/>
      <c r="G21" s="37"/>
      <c r="H21" s="37"/>
      <c r="I21" s="30"/>
      <c r="J21" s="38"/>
      <c r="K21" s="38" t="s">
        <v>20</v>
      </c>
      <c r="L21" s="39" t="s">
        <v>20</v>
      </c>
      <c r="M21" s="112"/>
      <c r="N21" s="80"/>
    </row>
    <row r="22" spans="1:14">
      <c r="A22" s="80"/>
      <c r="B22" s="3" t="s">
        <v>35</v>
      </c>
      <c r="C22" s="69" t="s">
        <v>17</v>
      </c>
      <c r="D22" s="69" t="s">
        <v>18</v>
      </c>
      <c r="E22" s="69" t="s">
        <v>19</v>
      </c>
      <c r="F22" s="37"/>
      <c r="G22" s="37"/>
      <c r="H22" s="37"/>
      <c r="I22" s="30"/>
      <c r="J22" s="38"/>
      <c r="K22" s="46"/>
      <c r="L22" s="47" t="s">
        <v>20</v>
      </c>
      <c r="M22" s="112"/>
      <c r="N22" s="80"/>
    </row>
    <row r="23" spans="1:14">
      <c r="A23" s="80"/>
      <c r="B23" s="3" t="s">
        <v>36</v>
      </c>
      <c r="C23" s="69" t="s">
        <v>17</v>
      </c>
      <c r="D23" s="69" t="s">
        <v>18</v>
      </c>
      <c r="E23" s="69" t="s">
        <v>19</v>
      </c>
      <c r="F23" s="37"/>
      <c r="G23" s="37"/>
      <c r="H23" s="48"/>
      <c r="I23" s="30"/>
      <c r="J23" s="38"/>
      <c r="K23" s="46"/>
      <c r="L23" s="47" t="s">
        <v>20</v>
      </c>
      <c r="M23" s="112"/>
      <c r="N23" s="80"/>
    </row>
    <row r="24" spans="1:14">
      <c r="A24" s="80"/>
      <c r="B24" s="3" t="s">
        <v>37</v>
      </c>
      <c r="C24" s="69" t="s">
        <v>17</v>
      </c>
      <c r="D24" s="69" t="s">
        <v>18</v>
      </c>
      <c r="E24" s="69" t="s">
        <v>19</v>
      </c>
      <c r="F24" s="37"/>
      <c r="G24" s="37"/>
      <c r="H24" s="48"/>
      <c r="I24" s="30"/>
      <c r="J24" s="38"/>
      <c r="K24" s="46" t="s">
        <v>20</v>
      </c>
      <c r="L24" s="47" t="s">
        <v>20</v>
      </c>
      <c r="M24" s="112"/>
      <c r="N24" s="80"/>
    </row>
    <row r="25" spans="1:14">
      <c r="A25" s="80"/>
      <c r="B25" s="3" t="s">
        <v>38</v>
      </c>
      <c r="C25" s="69" t="s">
        <v>17</v>
      </c>
      <c r="D25" s="69" t="s">
        <v>18</v>
      </c>
      <c r="E25" s="69" t="s">
        <v>19</v>
      </c>
      <c r="F25" s="48"/>
      <c r="G25" s="48"/>
      <c r="H25" s="48"/>
      <c r="I25" s="30"/>
      <c r="J25" s="38"/>
      <c r="K25" s="46"/>
      <c r="L25" s="47" t="s">
        <v>20</v>
      </c>
      <c r="M25" s="112"/>
      <c r="N25" s="80"/>
    </row>
    <row r="26" spans="1:14">
      <c r="A26" s="80"/>
      <c r="B26" s="3" t="s">
        <v>39</v>
      </c>
      <c r="C26" s="69" t="s">
        <v>17</v>
      </c>
      <c r="D26" s="69" t="s">
        <v>18</v>
      </c>
      <c r="E26" s="69" t="s">
        <v>19</v>
      </c>
      <c r="F26" s="48"/>
      <c r="G26" s="48"/>
      <c r="H26" s="48"/>
      <c r="I26" s="30"/>
      <c r="J26" s="38" t="s">
        <v>20</v>
      </c>
      <c r="K26" s="46" t="s">
        <v>20</v>
      </c>
      <c r="L26" s="47" t="s">
        <v>20</v>
      </c>
      <c r="M26" s="112"/>
      <c r="N26" s="80"/>
    </row>
    <row r="27" spans="1:14">
      <c r="A27" s="80"/>
      <c r="B27" s="3" t="s">
        <v>40</v>
      </c>
      <c r="C27" s="69"/>
      <c r="D27" s="69"/>
      <c r="E27" s="69"/>
      <c r="F27" s="48"/>
      <c r="G27" s="48"/>
      <c r="H27" s="48"/>
      <c r="I27" s="30"/>
      <c r="J27" s="38"/>
      <c r="K27" s="46"/>
      <c r="L27" s="47" t="s">
        <v>20</v>
      </c>
      <c r="M27" s="112"/>
      <c r="N27" s="80"/>
    </row>
    <row r="28" spans="1:14">
      <c r="A28" s="80"/>
      <c r="B28" s="3" t="s">
        <v>41</v>
      </c>
      <c r="C28" s="69" t="s">
        <v>17</v>
      </c>
      <c r="D28" s="69" t="s">
        <v>18</v>
      </c>
      <c r="E28" s="69" t="s">
        <v>19</v>
      </c>
      <c r="F28" s="49"/>
      <c r="G28" s="49"/>
      <c r="H28" s="49"/>
      <c r="I28" s="33"/>
      <c r="J28" s="50"/>
      <c r="K28" s="51"/>
      <c r="L28" s="52" t="s">
        <v>20</v>
      </c>
      <c r="M28" s="112"/>
      <c r="N28" s="80"/>
    </row>
    <row r="29" spans="1:14">
      <c r="A29" s="80"/>
      <c r="B29" s="3" t="s">
        <v>42</v>
      </c>
      <c r="C29" s="69" t="s">
        <v>17</v>
      </c>
      <c r="D29" s="69" t="s">
        <v>18</v>
      </c>
      <c r="E29" s="69" t="s">
        <v>19</v>
      </c>
      <c r="F29" s="48"/>
      <c r="G29" s="48"/>
      <c r="H29" s="48"/>
      <c r="I29" s="30"/>
      <c r="J29" s="38"/>
      <c r="K29" s="46" t="s">
        <v>20</v>
      </c>
      <c r="L29" s="47" t="s">
        <v>20</v>
      </c>
      <c r="M29" s="112"/>
      <c r="N29" s="80"/>
    </row>
    <row r="30" spans="1:14">
      <c r="A30" s="80"/>
      <c r="B30" s="3" t="s">
        <v>43</v>
      </c>
      <c r="C30" s="69" t="s">
        <v>17</v>
      </c>
      <c r="D30" s="69" t="s">
        <v>18</v>
      </c>
      <c r="E30" s="69" t="s">
        <v>19</v>
      </c>
      <c r="F30" s="48"/>
      <c r="G30" s="48"/>
      <c r="H30" s="48"/>
      <c r="I30" s="30"/>
      <c r="J30" s="38" t="s">
        <v>20</v>
      </c>
      <c r="K30" s="46" t="s">
        <v>20</v>
      </c>
      <c r="L30" s="47" t="s">
        <v>20</v>
      </c>
      <c r="M30" s="112"/>
      <c r="N30" s="80"/>
    </row>
    <row r="31" spans="1:14">
      <c r="A31" s="80"/>
      <c r="B31" s="3" t="s">
        <v>44</v>
      </c>
      <c r="C31" s="69" t="s">
        <v>17</v>
      </c>
      <c r="D31" s="69" t="s">
        <v>18</v>
      </c>
      <c r="E31" s="69" t="s">
        <v>19</v>
      </c>
      <c r="F31" s="48"/>
      <c r="G31" s="48"/>
      <c r="H31" s="48"/>
      <c r="I31" s="30"/>
      <c r="J31" s="38" t="s">
        <v>20</v>
      </c>
      <c r="K31" s="46" t="s">
        <v>20</v>
      </c>
      <c r="L31" s="47" t="s">
        <v>20</v>
      </c>
      <c r="M31" s="112"/>
      <c r="N31" s="80"/>
    </row>
    <row r="32" spans="1:14" ht="15.75" thickBot="1">
      <c r="A32" s="88"/>
      <c r="B32" s="3" t="s">
        <v>45</v>
      </c>
      <c r="C32" s="69" t="s">
        <v>17</v>
      </c>
      <c r="D32" s="69" t="s">
        <v>18</v>
      </c>
      <c r="E32" s="69" t="s">
        <v>46</v>
      </c>
      <c r="F32" s="48"/>
      <c r="G32" s="48"/>
      <c r="H32" s="48"/>
      <c r="I32" s="30"/>
      <c r="J32" s="38"/>
      <c r="K32" s="46"/>
      <c r="L32" s="47" t="s">
        <v>20</v>
      </c>
      <c r="M32" s="113"/>
      <c r="N32" s="88"/>
    </row>
    <row r="33" spans="1:14" ht="18.75" customHeight="1" thickBot="1">
      <c r="A33" s="79" t="s">
        <v>47</v>
      </c>
      <c r="B33" s="12" t="s">
        <v>5</v>
      </c>
      <c r="C33" s="73"/>
      <c r="D33" s="73"/>
      <c r="E33" s="73"/>
      <c r="F33" s="83" t="s">
        <v>7</v>
      </c>
      <c r="G33" s="84"/>
      <c r="H33" s="85"/>
      <c r="I33" s="67" t="s">
        <v>48</v>
      </c>
      <c r="J33" s="83" t="s">
        <v>8</v>
      </c>
      <c r="K33" s="84"/>
      <c r="L33" s="85"/>
      <c r="M33" s="13" t="s">
        <v>5</v>
      </c>
      <c r="N33" s="79" t="s">
        <v>47</v>
      </c>
    </row>
    <row r="34" spans="1:14" s="6" customFormat="1" ht="12" customHeight="1">
      <c r="A34" s="80"/>
      <c r="B34" s="75" t="s">
        <v>49</v>
      </c>
      <c r="C34" s="96" t="s">
        <v>12</v>
      </c>
      <c r="D34" s="96" t="s">
        <v>13</v>
      </c>
      <c r="E34" s="96" t="s">
        <v>14</v>
      </c>
      <c r="F34" s="98">
        <v>-0.35</v>
      </c>
      <c r="G34" s="98">
        <v>-0.3</v>
      </c>
      <c r="H34" s="106">
        <v>-0.2</v>
      </c>
      <c r="I34" s="90">
        <v>0</v>
      </c>
      <c r="J34" s="100">
        <v>0.2</v>
      </c>
      <c r="K34" s="102">
        <v>0.3</v>
      </c>
      <c r="L34" s="104">
        <v>0.35</v>
      </c>
      <c r="M34" s="81" t="s">
        <v>50</v>
      </c>
      <c r="N34" s="80"/>
    </row>
    <row r="35" spans="1:14" s="6" customFormat="1" ht="7.5" customHeight="1" thickBot="1">
      <c r="A35" s="80"/>
      <c r="B35" s="76"/>
      <c r="C35" s="97"/>
      <c r="D35" s="97"/>
      <c r="E35" s="97"/>
      <c r="F35" s="99"/>
      <c r="G35" s="99"/>
      <c r="H35" s="107"/>
      <c r="I35" s="91"/>
      <c r="J35" s="101"/>
      <c r="K35" s="103"/>
      <c r="L35" s="105"/>
      <c r="M35" s="82"/>
      <c r="N35" s="80"/>
    </row>
    <row r="36" spans="1:14">
      <c r="A36" s="80"/>
      <c r="B36" s="15" t="s">
        <v>51</v>
      </c>
      <c r="C36" s="68" t="s">
        <v>52</v>
      </c>
      <c r="D36" s="68" t="s">
        <v>53</v>
      </c>
      <c r="E36" s="71" t="s">
        <v>54</v>
      </c>
      <c r="F36" s="34" t="s">
        <v>20</v>
      </c>
      <c r="G36" s="34" t="s">
        <v>20</v>
      </c>
      <c r="H36" s="34" t="s">
        <v>20</v>
      </c>
      <c r="I36" s="29"/>
      <c r="J36" s="35"/>
      <c r="K36" s="35"/>
      <c r="L36" s="36"/>
      <c r="M36" s="114" t="s">
        <v>55</v>
      </c>
      <c r="N36" s="80"/>
    </row>
    <row r="37" spans="1:14">
      <c r="A37" s="80"/>
      <c r="B37" s="16" t="s">
        <v>56</v>
      </c>
      <c r="C37" s="69" t="s">
        <v>52</v>
      </c>
      <c r="D37" s="69" t="s">
        <v>53</v>
      </c>
      <c r="E37" s="23" t="s">
        <v>54</v>
      </c>
      <c r="F37" s="37" t="s">
        <v>20</v>
      </c>
      <c r="G37" s="37"/>
      <c r="H37" s="37"/>
      <c r="I37" s="30"/>
      <c r="J37" s="38"/>
      <c r="K37" s="38"/>
      <c r="L37" s="39"/>
      <c r="M37" s="115"/>
      <c r="N37" s="80"/>
    </row>
    <row r="38" spans="1:14">
      <c r="A38" s="80"/>
      <c r="B38" s="16" t="s">
        <v>57</v>
      </c>
      <c r="C38" s="69" t="s">
        <v>52</v>
      </c>
      <c r="D38" s="69" t="s">
        <v>17</v>
      </c>
      <c r="E38" s="23" t="s">
        <v>54</v>
      </c>
      <c r="F38" s="37" t="s">
        <v>20</v>
      </c>
      <c r="G38" s="37" t="s">
        <v>20</v>
      </c>
      <c r="H38" s="37"/>
      <c r="I38" s="30"/>
      <c r="J38" s="38"/>
      <c r="K38" s="38"/>
      <c r="L38" s="39"/>
      <c r="M38" s="115"/>
      <c r="N38" s="80"/>
    </row>
    <row r="39" spans="1:14">
      <c r="A39" s="80"/>
      <c r="B39" s="16" t="s">
        <v>58</v>
      </c>
      <c r="C39" s="69" t="s">
        <v>17</v>
      </c>
      <c r="D39" s="69" t="s">
        <v>18</v>
      </c>
      <c r="E39" s="23" t="s">
        <v>53</v>
      </c>
      <c r="F39" s="37" t="s">
        <v>20</v>
      </c>
      <c r="G39" s="37" t="s">
        <v>20</v>
      </c>
      <c r="H39" s="37" t="s">
        <v>20</v>
      </c>
      <c r="I39" s="30"/>
      <c r="J39" s="38"/>
      <c r="K39" s="38"/>
      <c r="L39" s="39"/>
      <c r="M39" s="115"/>
      <c r="N39" s="80"/>
    </row>
    <row r="40" spans="1:14">
      <c r="A40" s="80"/>
      <c r="B40" s="19" t="s">
        <v>59</v>
      </c>
      <c r="C40" s="23" t="s">
        <v>54</v>
      </c>
      <c r="D40" s="69" t="s">
        <v>60</v>
      </c>
      <c r="E40" s="23" t="s">
        <v>53</v>
      </c>
      <c r="F40" s="49" t="s">
        <v>20</v>
      </c>
      <c r="G40" s="49" t="s">
        <v>20</v>
      </c>
      <c r="H40" s="53" t="s">
        <v>20</v>
      </c>
      <c r="I40" s="30"/>
      <c r="J40" s="38"/>
      <c r="K40" s="38"/>
      <c r="L40" s="39"/>
      <c r="M40" s="115"/>
      <c r="N40" s="80"/>
    </row>
    <row r="41" spans="1:14">
      <c r="A41" s="80"/>
      <c r="B41" s="19" t="s">
        <v>61</v>
      </c>
      <c r="C41" s="23" t="s">
        <v>54</v>
      </c>
      <c r="D41" s="69" t="s">
        <v>60</v>
      </c>
      <c r="E41" s="23" t="s">
        <v>53</v>
      </c>
      <c r="F41" s="49" t="s">
        <v>20</v>
      </c>
      <c r="G41" s="49" t="s">
        <v>20</v>
      </c>
      <c r="H41" s="53" t="s">
        <v>20</v>
      </c>
      <c r="I41" s="30"/>
      <c r="J41" s="38"/>
      <c r="K41" s="38"/>
      <c r="L41" s="39"/>
      <c r="M41" s="115"/>
      <c r="N41" s="80"/>
    </row>
    <row r="42" spans="1:14">
      <c r="A42" s="80"/>
      <c r="B42" s="19" t="s">
        <v>62</v>
      </c>
      <c r="C42" s="23" t="s">
        <v>54</v>
      </c>
      <c r="D42" s="69" t="s">
        <v>60</v>
      </c>
      <c r="E42" s="23" t="s">
        <v>53</v>
      </c>
      <c r="F42" s="37" t="s">
        <v>20</v>
      </c>
      <c r="G42" s="37"/>
      <c r="H42" s="37"/>
      <c r="I42" s="30"/>
      <c r="J42" s="38"/>
      <c r="K42" s="38"/>
      <c r="L42" s="39"/>
      <c r="M42" s="115"/>
      <c r="N42" s="80"/>
    </row>
    <row r="43" spans="1:14">
      <c r="A43" s="80"/>
      <c r="B43" s="19" t="s">
        <v>63</v>
      </c>
      <c r="C43" s="23" t="s">
        <v>52</v>
      </c>
      <c r="D43" s="69" t="s">
        <v>54</v>
      </c>
      <c r="E43" s="23" t="s">
        <v>60</v>
      </c>
      <c r="F43" s="37" t="s">
        <v>20</v>
      </c>
      <c r="G43" s="37"/>
      <c r="H43" s="37"/>
      <c r="I43" s="30"/>
      <c r="J43" s="38"/>
      <c r="K43" s="44"/>
      <c r="L43" s="45"/>
      <c r="M43" s="115"/>
      <c r="N43" s="80"/>
    </row>
    <row r="44" spans="1:14">
      <c r="A44" s="80"/>
      <c r="B44" s="19" t="s">
        <v>64</v>
      </c>
      <c r="C44" s="23" t="s">
        <v>54</v>
      </c>
      <c r="D44" s="69" t="s">
        <v>60</v>
      </c>
      <c r="E44" s="23" t="s">
        <v>53</v>
      </c>
      <c r="F44" s="37" t="s">
        <v>20</v>
      </c>
      <c r="G44" s="37" t="s">
        <v>20</v>
      </c>
      <c r="H44" s="37"/>
      <c r="I44" s="30"/>
      <c r="J44" s="38"/>
      <c r="K44" s="44"/>
      <c r="L44" s="45"/>
      <c r="M44" s="115"/>
      <c r="N44" s="80"/>
    </row>
    <row r="45" spans="1:14" ht="15.75" thickBot="1">
      <c r="A45" s="80"/>
      <c r="B45" s="20" t="s">
        <v>65</v>
      </c>
      <c r="C45" s="24" t="s">
        <v>52</v>
      </c>
      <c r="D45" s="70" t="s">
        <v>53</v>
      </c>
      <c r="E45" s="24" t="s">
        <v>54</v>
      </c>
      <c r="F45" s="40" t="s">
        <v>20</v>
      </c>
      <c r="G45" s="40"/>
      <c r="H45" s="40"/>
      <c r="I45" s="31"/>
      <c r="J45" s="41"/>
      <c r="K45" s="41"/>
      <c r="L45" s="42"/>
      <c r="M45" s="116"/>
      <c r="N45" s="80"/>
    </row>
    <row r="46" spans="1:14">
      <c r="A46" s="80"/>
      <c r="B46" s="16" t="s">
        <v>66</v>
      </c>
      <c r="C46" s="71" t="s">
        <v>52</v>
      </c>
      <c r="D46" s="71" t="s">
        <v>53</v>
      </c>
      <c r="E46" s="23" t="s">
        <v>54</v>
      </c>
      <c r="F46" s="37"/>
      <c r="G46" s="37"/>
      <c r="H46" s="37"/>
      <c r="I46" s="30"/>
      <c r="J46" s="38"/>
      <c r="K46" s="38" t="s">
        <v>20</v>
      </c>
      <c r="L46" s="39" t="s">
        <v>20</v>
      </c>
      <c r="M46" s="111" t="s">
        <v>67</v>
      </c>
      <c r="N46" s="80"/>
    </row>
    <row r="47" spans="1:14">
      <c r="A47" s="80"/>
      <c r="B47" s="16" t="s">
        <v>56</v>
      </c>
      <c r="C47" s="23" t="s">
        <v>52</v>
      </c>
      <c r="D47" s="23" t="s">
        <v>53</v>
      </c>
      <c r="E47" s="23" t="s">
        <v>54</v>
      </c>
      <c r="F47" s="37"/>
      <c r="G47" s="37"/>
      <c r="H47" s="37"/>
      <c r="I47" s="30"/>
      <c r="J47" s="38"/>
      <c r="K47" s="38"/>
      <c r="L47" s="39" t="s">
        <v>20</v>
      </c>
      <c r="M47" s="112"/>
      <c r="N47" s="80"/>
    </row>
    <row r="48" spans="1:14">
      <c r="A48" s="80"/>
      <c r="B48" s="16" t="s">
        <v>68</v>
      </c>
      <c r="C48" s="23" t="s">
        <v>52</v>
      </c>
      <c r="D48" s="23" t="s">
        <v>17</v>
      </c>
      <c r="E48" s="23" t="s">
        <v>54</v>
      </c>
      <c r="F48" s="37"/>
      <c r="G48" s="37"/>
      <c r="H48" s="37"/>
      <c r="I48" s="30"/>
      <c r="J48" s="38"/>
      <c r="K48" s="38" t="s">
        <v>20</v>
      </c>
      <c r="L48" s="39" t="s">
        <v>20</v>
      </c>
      <c r="M48" s="112"/>
      <c r="N48" s="80"/>
    </row>
    <row r="49" spans="1:14">
      <c r="A49" s="80"/>
      <c r="B49" s="3" t="s">
        <v>69</v>
      </c>
      <c r="C49" s="23" t="s">
        <v>17</v>
      </c>
      <c r="D49" s="23" t="s">
        <v>18</v>
      </c>
      <c r="E49" s="23" t="s">
        <v>53</v>
      </c>
      <c r="F49" s="37"/>
      <c r="G49" s="37"/>
      <c r="H49" s="37"/>
      <c r="I49" s="30"/>
      <c r="J49" s="38" t="s">
        <v>20</v>
      </c>
      <c r="K49" s="44" t="s">
        <v>20</v>
      </c>
      <c r="L49" s="39" t="s">
        <v>20</v>
      </c>
      <c r="M49" s="112"/>
      <c r="N49" s="80"/>
    </row>
    <row r="50" spans="1:14">
      <c r="A50" s="80"/>
      <c r="B50" s="3" t="s">
        <v>70</v>
      </c>
      <c r="C50" s="23" t="s">
        <v>52</v>
      </c>
      <c r="D50" s="23" t="s">
        <v>53</v>
      </c>
      <c r="E50" s="23" t="s">
        <v>54</v>
      </c>
      <c r="F50" s="37"/>
      <c r="G50" s="37"/>
      <c r="H50" s="37"/>
      <c r="I50" s="30"/>
      <c r="J50" s="38"/>
      <c r="K50" s="44"/>
      <c r="L50" s="39" t="s">
        <v>20</v>
      </c>
      <c r="M50" s="112"/>
      <c r="N50" s="80"/>
    </row>
    <row r="51" spans="1:14">
      <c r="A51" s="80"/>
      <c r="B51" s="3" t="s">
        <v>71</v>
      </c>
      <c r="C51" s="23" t="s">
        <v>52</v>
      </c>
      <c r="D51" s="23" t="s">
        <v>53</v>
      </c>
      <c r="E51" s="23" t="s">
        <v>54</v>
      </c>
      <c r="F51" s="54"/>
      <c r="G51" s="55"/>
      <c r="H51" s="55"/>
      <c r="I51" s="30"/>
      <c r="J51" s="38"/>
      <c r="K51" s="44"/>
      <c r="L51" s="39" t="s">
        <v>20</v>
      </c>
      <c r="M51" s="112"/>
      <c r="N51" s="80"/>
    </row>
    <row r="52" spans="1:14">
      <c r="A52" s="80"/>
      <c r="B52" s="16" t="s">
        <v>72</v>
      </c>
      <c r="C52" s="23" t="s">
        <v>54</v>
      </c>
      <c r="D52" s="23" t="s">
        <v>60</v>
      </c>
      <c r="E52" s="23" t="s">
        <v>53</v>
      </c>
      <c r="F52" s="37"/>
      <c r="G52" s="37"/>
      <c r="H52" s="37"/>
      <c r="I52" s="32"/>
      <c r="J52" s="43"/>
      <c r="K52" s="44"/>
      <c r="L52" s="39" t="s">
        <v>20</v>
      </c>
      <c r="M52" s="112"/>
      <c r="N52" s="80"/>
    </row>
    <row r="53" spans="1:14" ht="15.75" thickBot="1">
      <c r="A53" s="80"/>
      <c r="B53" s="16" t="s">
        <v>73</v>
      </c>
      <c r="C53" s="24" t="s">
        <v>17</v>
      </c>
      <c r="D53" s="24" t="s">
        <v>18</v>
      </c>
      <c r="E53" s="24" t="s">
        <v>46</v>
      </c>
      <c r="F53" s="37"/>
      <c r="G53" s="37"/>
      <c r="H53" s="37"/>
      <c r="I53" s="32"/>
      <c r="J53" s="43"/>
      <c r="K53" s="44" t="s">
        <v>20</v>
      </c>
      <c r="L53" s="39" t="s">
        <v>20</v>
      </c>
      <c r="M53" s="112"/>
      <c r="N53" s="80"/>
    </row>
    <row r="54" spans="1:14" ht="13.5" customHeight="1" thickBot="1">
      <c r="A54" s="77" t="s">
        <v>74</v>
      </c>
      <c r="B54" s="12" t="s">
        <v>5</v>
      </c>
      <c r="C54" s="73"/>
      <c r="D54" s="73"/>
      <c r="E54" s="73"/>
      <c r="F54" s="83" t="s">
        <v>7</v>
      </c>
      <c r="G54" s="84"/>
      <c r="H54" s="85"/>
      <c r="I54" s="67" t="str">
        <f>I33</f>
        <v>Forecast</v>
      </c>
      <c r="J54" s="83" t="s">
        <v>8</v>
      </c>
      <c r="K54" s="84"/>
      <c r="L54" s="85"/>
      <c r="M54" s="12" t="s">
        <v>5</v>
      </c>
      <c r="N54" s="77" t="s">
        <v>74</v>
      </c>
    </row>
    <row r="55" spans="1:14" s="6" customFormat="1" ht="10.5" customHeight="1">
      <c r="A55" s="78"/>
      <c r="B55" s="75" t="s">
        <v>75</v>
      </c>
      <c r="C55" s="96" t="s">
        <v>12</v>
      </c>
      <c r="D55" s="96" t="s">
        <v>13</v>
      </c>
      <c r="E55" s="96" t="s">
        <v>14</v>
      </c>
      <c r="F55" s="98">
        <v>-0.35</v>
      </c>
      <c r="G55" s="98">
        <v>-0.3</v>
      </c>
      <c r="H55" s="106">
        <v>-0.2</v>
      </c>
      <c r="I55" s="90">
        <v>0</v>
      </c>
      <c r="J55" s="100">
        <v>0.2</v>
      </c>
      <c r="K55" s="102">
        <v>0.3</v>
      </c>
      <c r="L55" s="104">
        <v>0.35</v>
      </c>
      <c r="M55" s="86" t="s">
        <v>76</v>
      </c>
      <c r="N55" s="78"/>
    </row>
    <row r="56" spans="1:14" s="6" customFormat="1" ht="11.25" customHeight="1" thickBot="1">
      <c r="A56" s="78"/>
      <c r="B56" s="76"/>
      <c r="C56" s="97"/>
      <c r="D56" s="97"/>
      <c r="E56" s="97"/>
      <c r="F56" s="99"/>
      <c r="G56" s="99"/>
      <c r="H56" s="107"/>
      <c r="I56" s="91"/>
      <c r="J56" s="101"/>
      <c r="K56" s="103"/>
      <c r="L56" s="105"/>
      <c r="M56" s="87"/>
      <c r="N56" s="78"/>
    </row>
    <row r="57" spans="1:14" ht="12.95" customHeight="1">
      <c r="A57" s="78"/>
      <c r="B57" s="16" t="s">
        <v>77</v>
      </c>
      <c r="C57" s="71" t="s">
        <v>52</v>
      </c>
      <c r="D57" s="71" t="s">
        <v>78</v>
      </c>
      <c r="E57" s="71" t="s">
        <v>53</v>
      </c>
      <c r="F57" s="49" t="s">
        <v>20</v>
      </c>
      <c r="G57" s="56"/>
      <c r="H57" s="56"/>
      <c r="I57" s="57"/>
      <c r="J57" s="58"/>
      <c r="K57" s="59"/>
      <c r="L57" s="60"/>
      <c r="M57" s="111" t="s">
        <v>79</v>
      </c>
      <c r="N57" s="78"/>
    </row>
    <row r="58" spans="1:14" ht="16.5" customHeight="1">
      <c r="A58" s="78"/>
      <c r="B58" s="16" t="s">
        <v>80</v>
      </c>
      <c r="C58" s="23" t="s">
        <v>78</v>
      </c>
      <c r="D58" s="23" t="s">
        <v>60</v>
      </c>
      <c r="E58" s="23" t="s">
        <v>81</v>
      </c>
      <c r="F58" s="49" t="s">
        <v>20</v>
      </c>
      <c r="G58" s="49" t="s">
        <v>20</v>
      </c>
      <c r="H58" s="49"/>
      <c r="I58" s="33"/>
      <c r="J58" s="50"/>
      <c r="K58" s="51"/>
      <c r="L58" s="52"/>
      <c r="M58" s="112"/>
      <c r="N58" s="78"/>
    </row>
    <row r="59" spans="1:14">
      <c r="A59" s="78"/>
      <c r="B59" s="16" t="s">
        <v>82</v>
      </c>
      <c r="C59" s="23" t="s">
        <v>17</v>
      </c>
      <c r="D59" s="23" t="s">
        <v>18</v>
      </c>
      <c r="E59" s="23" t="s">
        <v>46</v>
      </c>
      <c r="F59" s="49" t="s">
        <v>20</v>
      </c>
      <c r="G59" s="49" t="s">
        <v>20</v>
      </c>
      <c r="H59" s="49"/>
      <c r="I59" s="33"/>
      <c r="J59" s="50"/>
      <c r="K59" s="51"/>
      <c r="L59" s="52"/>
      <c r="M59" s="112"/>
      <c r="N59" s="78"/>
    </row>
    <row r="60" spans="1:14">
      <c r="A60" s="78"/>
      <c r="B60" s="16" t="s">
        <v>83</v>
      </c>
      <c r="C60" s="23" t="s">
        <v>17</v>
      </c>
      <c r="D60" s="23" t="s">
        <v>18</v>
      </c>
      <c r="E60" s="23" t="s">
        <v>46</v>
      </c>
      <c r="F60" s="49" t="s">
        <v>20</v>
      </c>
      <c r="G60" s="49" t="s">
        <v>20</v>
      </c>
      <c r="H60" s="49" t="s">
        <v>20</v>
      </c>
      <c r="I60" s="33"/>
      <c r="J60" s="50"/>
      <c r="K60" s="51"/>
      <c r="L60" s="52"/>
      <c r="M60" s="112"/>
      <c r="N60" s="78"/>
    </row>
    <row r="61" spans="1:14">
      <c r="A61" s="78"/>
      <c r="B61" s="16" t="s">
        <v>84</v>
      </c>
      <c r="C61" s="23" t="s">
        <v>85</v>
      </c>
      <c r="D61" s="23" t="s">
        <v>60</v>
      </c>
      <c r="E61" s="23" t="s">
        <v>46</v>
      </c>
      <c r="F61" s="49" t="s">
        <v>20</v>
      </c>
      <c r="G61" s="49" t="s">
        <v>20</v>
      </c>
      <c r="H61" s="49"/>
      <c r="I61" s="33"/>
      <c r="J61" s="50"/>
      <c r="K61" s="51"/>
      <c r="L61" s="52"/>
      <c r="M61" s="112"/>
      <c r="N61" s="78"/>
    </row>
    <row r="62" spans="1:14">
      <c r="A62" s="78"/>
      <c r="B62" s="16" t="s">
        <v>86</v>
      </c>
      <c r="C62" s="23" t="s">
        <v>52</v>
      </c>
      <c r="D62" s="23" t="s">
        <v>54</v>
      </c>
      <c r="E62" s="23" t="s">
        <v>60</v>
      </c>
      <c r="F62" s="49" t="s">
        <v>20</v>
      </c>
      <c r="G62" s="49" t="s">
        <v>20</v>
      </c>
      <c r="H62" s="49"/>
      <c r="I62" s="33"/>
      <c r="J62" s="50"/>
      <c r="K62" s="51"/>
      <c r="L62" s="52"/>
      <c r="M62" s="112"/>
      <c r="N62" s="78"/>
    </row>
    <row r="63" spans="1:14">
      <c r="A63" s="78"/>
      <c r="B63" s="16" t="s">
        <v>87</v>
      </c>
      <c r="C63" s="23" t="s">
        <v>52</v>
      </c>
      <c r="D63" s="23" t="s">
        <v>54</v>
      </c>
      <c r="E63" s="23" t="s">
        <v>88</v>
      </c>
      <c r="F63" s="49" t="s">
        <v>20</v>
      </c>
      <c r="G63" s="49"/>
      <c r="H63" s="49"/>
      <c r="I63" s="33"/>
      <c r="J63" s="50"/>
      <c r="K63" s="51"/>
      <c r="L63" s="52"/>
      <c r="M63" s="112"/>
      <c r="N63" s="78"/>
    </row>
    <row r="64" spans="1:14">
      <c r="A64" s="78"/>
      <c r="B64" s="16" t="s">
        <v>89</v>
      </c>
      <c r="C64" s="23" t="s">
        <v>17</v>
      </c>
      <c r="D64" s="23" t="s">
        <v>18</v>
      </c>
      <c r="E64" s="23" t="s">
        <v>90</v>
      </c>
      <c r="F64" s="49" t="s">
        <v>20</v>
      </c>
      <c r="G64" s="49" t="s">
        <v>20</v>
      </c>
      <c r="H64" s="49"/>
      <c r="I64" s="33"/>
      <c r="J64" s="50"/>
      <c r="K64" s="51"/>
      <c r="L64" s="52"/>
      <c r="M64" s="112"/>
      <c r="N64" s="78"/>
    </row>
    <row r="65" spans="1:14" s="6" customFormat="1" ht="18">
      <c r="A65" s="78"/>
      <c r="B65" s="16" t="s">
        <v>91</v>
      </c>
      <c r="C65" s="23" t="s">
        <v>52</v>
      </c>
      <c r="D65" s="23" t="s">
        <v>54</v>
      </c>
      <c r="E65" s="23" t="s">
        <v>18</v>
      </c>
      <c r="F65" s="49" t="s">
        <v>20</v>
      </c>
      <c r="G65" s="49"/>
      <c r="H65" s="49"/>
      <c r="I65" s="33"/>
      <c r="J65" s="50"/>
      <c r="K65" s="51"/>
      <c r="L65" s="52"/>
      <c r="M65" s="112"/>
      <c r="N65" s="78"/>
    </row>
    <row r="66" spans="1:14" s="6" customFormat="1" ht="18">
      <c r="A66" s="78"/>
      <c r="B66" s="16" t="s">
        <v>92</v>
      </c>
      <c r="C66" s="23" t="s">
        <v>52</v>
      </c>
      <c r="D66" s="23" t="s">
        <v>54</v>
      </c>
      <c r="E66" s="23" t="s">
        <v>60</v>
      </c>
      <c r="F66" s="49" t="s">
        <v>20</v>
      </c>
      <c r="G66" s="49" t="s">
        <v>20</v>
      </c>
      <c r="H66" s="49"/>
      <c r="I66" s="33"/>
      <c r="J66" s="50"/>
      <c r="K66" s="51"/>
      <c r="L66" s="52"/>
      <c r="M66" s="112"/>
      <c r="N66" s="78"/>
    </row>
    <row r="67" spans="1:14" s="6" customFormat="1" ht="18">
      <c r="A67" s="78"/>
      <c r="B67" s="16" t="s">
        <v>93</v>
      </c>
      <c r="C67" s="23" t="s">
        <v>85</v>
      </c>
      <c r="D67" s="23" t="s">
        <v>60</v>
      </c>
      <c r="E67" s="23" t="s">
        <v>46</v>
      </c>
      <c r="F67" s="49" t="s">
        <v>20</v>
      </c>
      <c r="G67" s="49" t="s">
        <v>20</v>
      </c>
      <c r="H67" s="49"/>
      <c r="I67" s="33"/>
      <c r="J67" s="50"/>
      <c r="K67" s="51"/>
      <c r="L67" s="52"/>
      <c r="M67" s="112"/>
      <c r="N67" s="78"/>
    </row>
    <row r="68" spans="1:14" s="6" customFormat="1" ht="18.75" thickBot="1">
      <c r="A68" s="78"/>
      <c r="B68" s="21" t="s">
        <v>94</v>
      </c>
      <c r="C68" s="24" t="s">
        <v>85</v>
      </c>
      <c r="D68" s="24" t="s">
        <v>60</v>
      </c>
      <c r="E68" s="24" t="s">
        <v>95</v>
      </c>
      <c r="F68" s="61" t="s">
        <v>20</v>
      </c>
      <c r="G68" s="61" t="s">
        <v>20</v>
      </c>
      <c r="H68" s="61"/>
      <c r="I68" s="62"/>
      <c r="J68" s="63"/>
      <c r="K68" s="64"/>
      <c r="L68" s="65"/>
      <c r="M68" s="113"/>
      <c r="N68" s="78"/>
    </row>
    <row r="69" spans="1:14" s="6" customFormat="1" ht="15.6" customHeight="1">
      <c r="A69" s="78"/>
      <c r="B69" s="3" t="s">
        <v>96</v>
      </c>
      <c r="C69" s="23" t="s">
        <v>78</v>
      </c>
      <c r="D69" s="23" t="s">
        <v>60</v>
      </c>
      <c r="E69" s="23" t="s">
        <v>81</v>
      </c>
      <c r="F69" s="49"/>
      <c r="G69" s="49"/>
      <c r="H69" s="49"/>
      <c r="I69" s="33"/>
      <c r="J69" s="50"/>
      <c r="K69" s="51" t="s">
        <v>20</v>
      </c>
      <c r="L69" s="52" t="s">
        <v>20</v>
      </c>
      <c r="M69" s="111" t="s">
        <v>97</v>
      </c>
      <c r="N69" s="78"/>
    </row>
    <row r="70" spans="1:14" s="6" customFormat="1" ht="18">
      <c r="A70" s="78"/>
      <c r="B70" s="3" t="s">
        <v>98</v>
      </c>
      <c r="C70" s="23" t="s">
        <v>17</v>
      </c>
      <c r="D70" s="23" t="s">
        <v>18</v>
      </c>
      <c r="E70" s="23" t="s">
        <v>46</v>
      </c>
      <c r="F70" s="49"/>
      <c r="G70" s="49"/>
      <c r="H70" s="49"/>
      <c r="I70" s="33"/>
      <c r="J70" s="50"/>
      <c r="K70" s="51" t="s">
        <v>20</v>
      </c>
      <c r="L70" s="52" t="s">
        <v>20</v>
      </c>
      <c r="M70" s="112"/>
      <c r="N70" s="78"/>
    </row>
    <row r="71" spans="1:14" s="6" customFormat="1" ht="18">
      <c r="A71" s="78"/>
      <c r="B71" s="3" t="s">
        <v>99</v>
      </c>
      <c r="C71" s="23" t="s">
        <v>17</v>
      </c>
      <c r="D71" s="23" t="s">
        <v>18</v>
      </c>
      <c r="E71" s="23" t="s">
        <v>46</v>
      </c>
      <c r="F71" s="49"/>
      <c r="G71" s="49"/>
      <c r="H71" s="49"/>
      <c r="I71" s="33"/>
      <c r="J71" s="50" t="s">
        <v>20</v>
      </c>
      <c r="K71" s="51" t="s">
        <v>20</v>
      </c>
      <c r="L71" s="52" t="s">
        <v>20</v>
      </c>
      <c r="M71" s="112"/>
      <c r="N71" s="78"/>
    </row>
    <row r="72" spans="1:14" s="6" customFormat="1" ht="18">
      <c r="A72" s="78"/>
      <c r="B72" s="3" t="s">
        <v>100</v>
      </c>
      <c r="C72" s="23" t="s">
        <v>85</v>
      </c>
      <c r="D72" s="23" t="s">
        <v>60</v>
      </c>
      <c r="E72" s="23" t="s">
        <v>46</v>
      </c>
      <c r="F72" s="49"/>
      <c r="G72" s="49"/>
      <c r="H72" s="49"/>
      <c r="I72" s="33"/>
      <c r="J72" s="50"/>
      <c r="K72" s="51" t="s">
        <v>20</v>
      </c>
      <c r="L72" s="52" t="s">
        <v>20</v>
      </c>
      <c r="M72" s="112"/>
      <c r="N72" s="78"/>
    </row>
    <row r="73" spans="1:14" s="6" customFormat="1" ht="18">
      <c r="A73" s="78"/>
      <c r="B73" s="3" t="s">
        <v>101</v>
      </c>
      <c r="C73" s="23" t="s">
        <v>52</v>
      </c>
      <c r="D73" s="23" t="s">
        <v>54</v>
      </c>
      <c r="E73" s="23" t="s">
        <v>18</v>
      </c>
      <c r="F73" s="49"/>
      <c r="G73" s="49"/>
      <c r="H73" s="49"/>
      <c r="I73" s="33"/>
      <c r="J73" s="50"/>
      <c r="K73" s="51" t="s">
        <v>20</v>
      </c>
      <c r="L73" s="52" t="s">
        <v>20</v>
      </c>
      <c r="M73" s="112"/>
      <c r="N73" s="78"/>
    </row>
    <row r="74" spans="1:14" s="6" customFormat="1" ht="18">
      <c r="A74" s="78"/>
      <c r="B74" s="3" t="s">
        <v>102</v>
      </c>
      <c r="C74" s="23" t="s">
        <v>52</v>
      </c>
      <c r="D74" s="23" t="s">
        <v>54</v>
      </c>
      <c r="E74" s="23" t="s">
        <v>88</v>
      </c>
      <c r="F74" s="49"/>
      <c r="G74" s="49"/>
      <c r="H74" s="49"/>
      <c r="I74" s="33"/>
      <c r="J74" s="50"/>
      <c r="K74" s="51"/>
      <c r="L74" s="52" t="s">
        <v>20</v>
      </c>
      <c r="M74" s="112"/>
      <c r="N74" s="78"/>
    </row>
    <row r="75" spans="1:14" s="6" customFormat="1" ht="18">
      <c r="A75" s="78"/>
      <c r="B75" s="3" t="s">
        <v>103</v>
      </c>
      <c r="C75" s="23" t="s">
        <v>17</v>
      </c>
      <c r="D75" s="23" t="s">
        <v>18</v>
      </c>
      <c r="E75" s="23" t="s">
        <v>90</v>
      </c>
      <c r="F75" s="49"/>
      <c r="G75" s="49"/>
      <c r="H75" s="49"/>
      <c r="I75" s="33"/>
      <c r="J75" s="50"/>
      <c r="K75" s="51" t="s">
        <v>20</v>
      </c>
      <c r="L75" s="52" t="s">
        <v>20</v>
      </c>
      <c r="M75" s="112"/>
      <c r="N75" s="78"/>
    </row>
    <row r="76" spans="1:14" s="6" customFormat="1" ht="18.75" thickBot="1">
      <c r="A76" s="78"/>
      <c r="B76" s="3" t="s">
        <v>104</v>
      </c>
      <c r="C76" s="24" t="s">
        <v>52</v>
      </c>
      <c r="D76" s="24" t="s">
        <v>54</v>
      </c>
      <c r="E76" s="24" t="s">
        <v>105</v>
      </c>
      <c r="F76" s="49"/>
      <c r="G76" s="49"/>
      <c r="H76" s="49"/>
      <c r="I76" s="33"/>
      <c r="J76" s="50"/>
      <c r="K76" s="51"/>
      <c r="L76" s="52" t="s">
        <v>20</v>
      </c>
      <c r="M76" s="113"/>
      <c r="N76" s="78"/>
    </row>
    <row r="77" spans="1:14" ht="18.75" customHeight="1" thickBot="1">
      <c r="A77" s="77" t="s">
        <v>106</v>
      </c>
      <c r="B77" s="12" t="s">
        <v>5</v>
      </c>
      <c r="C77" s="73"/>
      <c r="D77" s="73"/>
      <c r="E77" s="73"/>
      <c r="F77" s="83" t="s">
        <v>7</v>
      </c>
      <c r="G77" s="84"/>
      <c r="H77" s="85"/>
      <c r="I77" s="67" t="str">
        <f>I33</f>
        <v>Forecast</v>
      </c>
      <c r="J77" s="83" t="s">
        <v>8</v>
      </c>
      <c r="K77" s="84"/>
      <c r="L77" s="85"/>
      <c r="M77" s="12" t="s">
        <v>5</v>
      </c>
      <c r="N77" s="77" t="s">
        <v>106</v>
      </c>
    </row>
    <row r="78" spans="1:14" s="6" customFormat="1" ht="10.5" customHeight="1">
      <c r="A78" s="78"/>
      <c r="B78" s="75" t="s">
        <v>107</v>
      </c>
      <c r="C78" s="96" t="s">
        <v>12</v>
      </c>
      <c r="D78" s="96" t="s">
        <v>13</v>
      </c>
      <c r="E78" s="96" t="s">
        <v>14</v>
      </c>
      <c r="F78" s="98">
        <v>-0.35</v>
      </c>
      <c r="G78" s="98">
        <v>-0.3</v>
      </c>
      <c r="H78" s="106">
        <v>-0.2</v>
      </c>
      <c r="I78" s="90">
        <v>0</v>
      </c>
      <c r="J78" s="100">
        <v>0.2</v>
      </c>
      <c r="K78" s="102">
        <v>0.3</v>
      </c>
      <c r="L78" s="104">
        <v>0.35</v>
      </c>
      <c r="M78" s="75" t="s">
        <v>108</v>
      </c>
      <c r="N78" s="78"/>
    </row>
    <row r="79" spans="1:14" s="6" customFormat="1" ht="11.1" customHeight="1" thickBot="1">
      <c r="A79" s="78"/>
      <c r="B79" s="76"/>
      <c r="C79" s="97"/>
      <c r="D79" s="97"/>
      <c r="E79" s="97"/>
      <c r="F79" s="99"/>
      <c r="G79" s="99"/>
      <c r="H79" s="107"/>
      <c r="I79" s="91"/>
      <c r="J79" s="101"/>
      <c r="K79" s="103"/>
      <c r="L79" s="105"/>
      <c r="M79" s="76"/>
      <c r="N79" s="78"/>
    </row>
    <row r="80" spans="1:14">
      <c r="A80" s="78"/>
      <c r="B80" s="15" t="s">
        <v>109</v>
      </c>
      <c r="C80" s="68" t="s">
        <v>52</v>
      </c>
      <c r="D80" s="68" t="s">
        <v>54</v>
      </c>
      <c r="E80" s="68" t="s">
        <v>88</v>
      </c>
      <c r="F80" s="56" t="s">
        <v>20</v>
      </c>
      <c r="G80" s="56"/>
      <c r="H80" s="56"/>
      <c r="I80" s="57"/>
      <c r="J80" s="58"/>
      <c r="K80" s="59"/>
      <c r="L80" s="60"/>
      <c r="M80" s="111" t="s">
        <v>110</v>
      </c>
      <c r="N80" s="78"/>
    </row>
    <row r="81" spans="1:14" ht="42.95" customHeight="1" thickBot="1">
      <c r="A81" s="78"/>
      <c r="B81" s="22" t="s">
        <v>111</v>
      </c>
      <c r="C81" s="70" t="s">
        <v>17</v>
      </c>
      <c r="D81" s="70" t="s">
        <v>112</v>
      </c>
      <c r="E81" s="70" t="s">
        <v>113</v>
      </c>
      <c r="F81" s="66" t="s">
        <v>20</v>
      </c>
      <c r="G81" s="66" t="s">
        <v>20</v>
      </c>
      <c r="H81" s="61"/>
      <c r="I81" s="62"/>
      <c r="J81" s="63"/>
      <c r="K81" s="64"/>
      <c r="L81" s="65"/>
      <c r="M81" s="113"/>
      <c r="N81" s="78"/>
    </row>
    <row r="82" spans="1:14" ht="16.5" customHeight="1">
      <c r="A82" s="78"/>
      <c r="B82" s="3" t="s">
        <v>114</v>
      </c>
      <c r="C82" s="71" t="s">
        <v>17</v>
      </c>
      <c r="D82" s="71" t="s">
        <v>112</v>
      </c>
      <c r="E82" s="72" t="s">
        <v>113</v>
      </c>
      <c r="F82" s="49"/>
      <c r="G82" s="49"/>
      <c r="H82" s="49"/>
      <c r="I82" s="33"/>
      <c r="J82" s="50"/>
      <c r="K82" s="51" t="s">
        <v>20</v>
      </c>
      <c r="L82" s="52" t="s">
        <v>20</v>
      </c>
      <c r="M82" s="111" t="s">
        <v>115</v>
      </c>
      <c r="N82" s="78"/>
    </row>
    <row r="83" spans="1:14">
      <c r="A83" s="78"/>
      <c r="B83" s="3" t="s">
        <v>116</v>
      </c>
      <c r="C83" s="23" t="s">
        <v>52</v>
      </c>
      <c r="D83" s="23" t="s">
        <v>17</v>
      </c>
      <c r="E83" s="72" t="s">
        <v>105</v>
      </c>
      <c r="F83" s="49"/>
      <c r="G83" s="49"/>
      <c r="H83" s="49"/>
      <c r="I83" s="33"/>
      <c r="J83" s="50"/>
      <c r="K83" s="51"/>
      <c r="L83" s="52" t="s">
        <v>20</v>
      </c>
      <c r="M83" s="117"/>
      <c r="N83" s="78"/>
    </row>
    <row r="84" spans="1:14">
      <c r="A84" s="78"/>
      <c r="B84" s="3" t="s">
        <v>117</v>
      </c>
      <c r="C84" s="23" t="s">
        <v>17</v>
      </c>
      <c r="D84" s="23" t="s">
        <v>18</v>
      </c>
      <c r="E84" s="72" t="s">
        <v>105</v>
      </c>
      <c r="F84" s="49"/>
      <c r="G84" s="49"/>
      <c r="H84" s="49"/>
      <c r="I84" s="33"/>
      <c r="J84" s="50"/>
      <c r="K84" s="51"/>
      <c r="L84" s="52" t="s">
        <v>20</v>
      </c>
      <c r="M84" s="117"/>
      <c r="N84" s="78"/>
    </row>
    <row r="85" spans="1:14" ht="39.6" customHeight="1" thickBot="1">
      <c r="A85" s="89"/>
      <c r="B85" s="22" t="s">
        <v>118</v>
      </c>
      <c r="C85" s="24" t="s">
        <v>52</v>
      </c>
      <c r="D85" s="24" t="s">
        <v>17</v>
      </c>
      <c r="E85" s="74" t="s">
        <v>105</v>
      </c>
      <c r="F85" s="61"/>
      <c r="G85" s="61"/>
      <c r="H85" s="61"/>
      <c r="I85" s="62"/>
      <c r="J85" s="63"/>
      <c r="K85" s="64"/>
      <c r="L85" s="65" t="s">
        <v>20</v>
      </c>
      <c r="M85" s="118"/>
      <c r="N85" s="89"/>
    </row>
    <row r="89" spans="1:14">
      <c r="I89" s="26" t="s">
        <v>119</v>
      </c>
      <c r="J89" s="26" t="s">
        <v>120</v>
      </c>
      <c r="K89" s="26" t="s">
        <v>121</v>
      </c>
      <c r="L89" s="26" t="s">
        <v>122</v>
      </c>
      <c r="M89" s="26" t="s">
        <v>123</v>
      </c>
    </row>
    <row r="90" spans="1:14" ht="45">
      <c r="F90" s="25"/>
      <c r="G90" s="25"/>
      <c r="H90" s="25"/>
      <c r="I90" s="27" t="s">
        <v>124</v>
      </c>
      <c r="J90" s="28">
        <v>45749</v>
      </c>
      <c r="K90" s="27" t="s">
        <v>125</v>
      </c>
      <c r="L90" s="27"/>
      <c r="M90" s="27"/>
    </row>
    <row r="91" spans="1:14">
      <c r="I91" s="27"/>
      <c r="J91" s="27"/>
      <c r="K91" s="27"/>
      <c r="L91" s="27"/>
      <c r="M91" s="27"/>
    </row>
    <row r="92" spans="1:14">
      <c r="I92" s="27"/>
      <c r="J92" s="27"/>
      <c r="K92" s="27"/>
      <c r="L92" s="27"/>
      <c r="M92" s="27"/>
    </row>
    <row r="93" spans="1:14">
      <c r="I93" s="27"/>
      <c r="J93" s="27"/>
      <c r="K93" s="27"/>
      <c r="L93" s="27"/>
      <c r="M93" s="27"/>
    </row>
    <row r="94" spans="1:14">
      <c r="I94" s="27"/>
      <c r="J94" s="27"/>
      <c r="K94" s="27"/>
      <c r="L94" s="27"/>
      <c r="M94" s="27"/>
    </row>
    <row r="95" spans="1:14">
      <c r="I95" s="27"/>
      <c r="J95" s="27"/>
      <c r="K95" s="27"/>
      <c r="L95" s="27"/>
      <c r="M95" s="27"/>
    </row>
    <row r="96" spans="1:14">
      <c r="I96" s="27"/>
      <c r="J96" s="27"/>
      <c r="K96" s="27"/>
      <c r="L96" s="27"/>
      <c r="M96" s="27"/>
    </row>
    <row r="97" spans="9:13">
      <c r="I97" s="27"/>
      <c r="J97" s="27"/>
      <c r="K97" s="27"/>
      <c r="L97" s="27"/>
      <c r="M97" s="27"/>
    </row>
    <row r="98" spans="9:13">
      <c r="I98" s="27"/>
      <c r="J98" s="27"/>
      <c r="K98" s="27"/>
      <c r="L98" s="27"/>
      <c r="M98" s="27"/>
    </row>
    <row r="99" spans="9:13">
      <c r="I99" s="27"/>
      <c r="J99" s="27"/>
      <c r="K99" s="27"/>
      <c r="L99" s="27"/>
      <c r="M99" s="27"/>
    </row>
    <row r="100" spans="9:13">
      <c r="I100" s="27"/>
      <c r="J100" s="27"/>
      <c r="K100" s="27"/>
      <c r="L100" s="27"/>
      <c r="M100" s="27"/>
    </row>
  </sheetData>
  <mergeCells count="73">
    <mergeCell ref="C55:C56"/>
    <mergeCell ref="D55:D56"/>
    <mergeCell ref="E55:E56"/>
    <mergeCell ref="E78:E79"/>
    <mergeCell ref="J6:L6"/>
    <mergeCell ref="C6:E6"/>
    <mergeCell ref="D7:D8"/>
    <mergeCell ref="E7:E8"/>
    <mergeCell ref="C34:C35"/>
    <mergeCell ref="D34:D35"/>
    <mergeCell ref="E34:E35"/>
    <mergeCell ref="J33:L33"/>
    <mergeCell ref="F78:F79"/>
    <mergeCell ref="G78:G79"/>
    <mergeCell ref="H78:H79"/>
    <mergeCell ref="I78:I79"/>
    <mergeCell ref="M57:M68"/>
    <mergeCell ref="M69:M76"/>
    <mergeCell ref="M82:M85"/>
    <mergeCell ref="J77:L77"/>
    <mergeCell ref="J54:L54"/>
    <mergeCell ref="J78:J79"/>
    <mergeCell ref="K78:K79"/>
    <mergeCell ref="L78:L79"/>
    <mergeCell ref="M80:M81"/>
    <mergeCell ref="C78:C79"/>
    <mergeCell ref="D78:D79"/>
    <mergeCell ref="M20:M32"/>
    <mergeCell ref="M46:M53"/>
    <mergeCell ref="M9:M19"/>
    <mergeCell ref="H34:H35"/>
    <mergeCell ref="I34:I35"/>
    <mergeCell ref="J34:J35"/>
    <mergeCell ref="K34:K35"/>
    <mergeCell ref="L34:L35"/>
    <mergeCell ref="M36:M45"/>
    <mergeCell ref="H55:H56"/>
    <mergeCell ref="I55:I56"/>
    <mergeCell ref="J55:J56"/>
    <mergeCell ref="K55:K56"/>
    <mergeCell ref="L55:L56"/>
    <mergeCell ref="N6:N32"/>
    <mergeCell ref="A77:A85"/>
    <mergeCell ref="I7:I8"/>
    <mergeCell ref="A6:A32"/>
    <mergeCell ref="M7:M8"/>
    <mergeCell ref="B7:B8"/>
    <mergeCell ref="C7:C8"/>
    <mergeCell ref="F7:F8"/>
    <mergeCell ref="G7:G8"/>
    <mergeCell ref="J7:J8"/>
    <mergeCell ref="K7:K8"/>
    <mergeCell ref="L7:L8"/>
    <mergeCell ref="H7:H8"/>
    <mergeCell ref="F6:H6"/>
    <mergeCell ref="F77:H77"/>
    <mergeCell ref="N77:N85"/>
    <mergeCell ref="B78:B79"/>
    <mergeCell ref="M78:M79"/>
    <mergeCell ref="A54:A76"/>
    <mergeCell ref="N54:N76"/>
    <mergeCell ref="A33:A53"/>
    <mergeCell ref="B34:B35"/>
    <mergeCell ref="M34:M35"/>
    <mergeCell ref="N33:N53"/>
    <mergeCell ref="F54:H54"/>
    <mergeCell ref="F33:H33"/>
    <mergeCell ref="B55:B56"/>
    <mergeCell ref="M55:M56"/>
    <mergeCell ref="F34:F35"/>
    <mergeCell ref="G34:G35"/>
    <mergeCell ref="F55:F56"/>
    <mergeCell ref="G55:G56"/>
  </mergeCells>
  <phoneticPr fontId="2" type="noConversion"/>
  <printOptions horizontalCentered="1" verticalCentered="1"/>
  <pageMargins left="3.937007874015748E-2" right="3.937007874015748E-2" top="0.59055118110236227" bottom="0.23622047244094491" header="0.27559055118110237" footer="0.51181102362204722"/>
  <pageSetup paperSize="3" scale="49" orientation="landscape" r:id="rId1"/>
  <headerFooter alignWithMargins="0">
    <oddFooter>&amp;L&amp;D &amp;T&amp;C&amp;F&amp;RSivB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660234-7267-4d96-9e59-cc828c7135c7"/>
    <IIDescription xmlns="9d660234-7267-4d96-9e59-cc828c7135c7" xsi:nil="true"/>
    <iae3f6385e354d52b4a44c511ccc6bdc xmlns="49e47fcf-4f62-4f59-ae0b-63eb1be2ac54">
      <Terms xmlns="http://schemas.microsoft.com/office/infopath/2007/PartnerControls">
        <TermInfo xmlns="http://schemas.microsoft.com/office/infopath/2007/PartnerControls">
          <TermName xmlns="http://schemas.microsoft.com/office/infopath/2007/PartnerControls">All Countries</TermName>
          <TermId xmlns="http://schemas.microsoft.com/office/infopath/2007/PartnerControls">a0719c87-6380-4d85-ae6c-7a93531c12f2</TermId>
        </TermInfo>
      </Terms>
    </iae3f6385e354d52b4a44c511ccc6bdc>
    <l081a268083d4a6696905bd55b3443d7 xmlns="9d660234-7267-4d96-9e59-cc828c7135c7">
      <Terms xmlns="http://schemas.microsoft.com/office/infopath/2007/PartnerControls"/>
    </l081a268083d4a6696905bd55b3443d7>
    <IIOwner xmlns="9d660234-7267-4d96-9e59-cc828c7135c7">
      <UserInfo xmlns="9d660234-7267-4d96-9e59-cc828c7135c7">
        <DisplayName xmlns="9d660234-7267-4d96-9e59-cc828c7135c7"/>
        <AccountId xmlns="9d660234-7267-4d96-9e59-cc828c7135c7">411</AccountId>
        <AccountType xmlns="9d660234-7267-4d96-9e59-cc828c7135c7"/>
      </UserInfo>
    </IIOwn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BB42FBE72CD54B8563344DEEDAC3C0" ma:contentTypeVersion="11" ma:contentTypeDescription="Create a new document." ma:contentTypeScope="" ma:versionID="4be0bece5869764ecacb0dbca41f14af">
  <xsd:schema xmlns:xsd="http://www.w3.org/2001/XMLSchema" xmlns:xs="http://www.w3.org/2001/XMLSchema" xmlns:p="http://schemas.microsoft.com/office/2006/metadata/properties" xmlns:ns2="9d660234-7267-4d96-9e59-cc828c7135c7" xmlns:ns3="49e47fcf-4f62-4f59-ae0b-63eb1be2ac54" xmlns:ns4="e698133a-7341-488a-9686-bce0fb9b49d9" targetNamespace="http://schemas.microsoft.com/office/2006/metadata/properties" ma:root="true" ma:fieldsID="553fbb50dda5846634efd0d1b40c8a3c" ns2:_="" ns3:_="" ns4:_="">
    <xsd:import namespace="9d660234-7267-4d96-9e59-cc828c7135c7"/>
    <xsd:import namespace="49e47fcf-4f62-4f59-ae0b-63eb1be2ac54"/>
    <xsd:import namespace="e698133a-7341-488a-9686-bce0fb9b49d9"/>
    <xsd:element name="properties">
      <xsd:complexType>
        <xsd:sequence>
          <xsd:element name="documentManagement">
            <xsd:complexType>
              <xsd:all>
                <xsd:element ref="ns2:IIDescription" minOccurs="0"/>
                <xsd:element ref="ns2:IIOwner"/>
                <xsd:element ref="ns3:iae3f6385e354d52b4a44c511ccc6bdc" minOccurs="0"/>
                <xsd:element ref="ns2:TaxCatchAll" minOccurs="0"/>
                <xsd:element ref="ns2:l081a268083d4a6696905bd55b3443d7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60234-7267-4d96-9e59-cc828c7135c7" elementFormDefault="qualified">
    <xsd:import namespace="http://schemas.microsoft.com/office/2006/documentManagement/types"/>
    <xsd:import namespace="http://schemas.microsoft.com/office/infopath/2007/PartnerControls"/>
    <xsd:element name="IIDescription" ma:index="8" nillable="true" ma:displayName="Ingka Description" ma:description="Please write a short description. This text is displayed on the filtering site and makes it easier for co-workers to find what they are looking for. Write full sentences, not just keywords" ma:internalName="IIDescription" ma:readOnly="false">
      <xsd:simpleType>
        <xsd:restriction base="dms:Note">
          <xsd:maxLength value="255"/>
        </xsd:restriction>
      </xsd:simpleType>
    </xsd:element>
    <xsd:element name="IIOwner" ma:index="9" ma:displayName="Owner" ma:SharePointGroup="0" ma:internalName="II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12" nillable="true" ma:displayName="Taxonomy Catch All Column" ma:hidden="true" ma:list="{e52fee11-edef-4ba2-95c7-5893fc63c2c1}" ma:internalName="TaxCatchAll" ma:showField="CatchAllData" ma:web="9d660234-7267-4d96-9e59-cc828c7135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081a268083d4a6696905bd55b3443d7" ma:index="14" nillable="true" ma:taxonomy="true" ma:internalName="l081a268083d4a6696905bd55b3443d7" ma:taxonomyFieldName="IIKeywords" ma:displayName="Ingka Keywords" ma:fieldId="{5081a268-083d-4a66-9690-5bd55b3443d7}" ma:taxonomyMulti="true" ma:sspId="0f74b9ce-e249-4914-9420-12ff0f463e82" ma:termSetId="5f9fc9d7-534f-4e0e-947d-fdfe74288009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47fcf-4f62-4f59-ae0b-63eb1be2ac54" elementFormDefault="qualified">
    <xsd:import namespace="http://schemas.microsoft.com/office/2006/documentManagement/types"/>
    <xsd:import namespace="http://schemas.microsoft.com/office/infopath/2007/PartnerControls"/>
    <xsd:element name="iae3f6385e354d52b4a44c511ccc6bdc" ma:index="11" nillable="true" ma:taxonomy="true" ma:internalName="iae3f6385e354d52b4a44c511ccc6bdc" ma:taxonomyFieldName="IICountry" ma:displayName="Ingka Country" ma:default="1;#All Countries|a0719c87-6380-4d85-ae6c-7a93531c12f2" ma:fieldId="{2ae3f638-5e35-4d52-b4a4-4c511ccc6bdc}" ma:taxonomyMulti="true" ma:sspId="0f74b9ce-e249-4914-9420-12ff0f463e82" ma:termSetId="849144ea-f796-4900-b732-df3c884bfcb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8133a-7341-488a-9686-bce0fb9b4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23E920F-3822-4678-9A58-F36507454C96}"/>
</file>

<file path=customXml/itemProps2.xml><?xml version="1.0" encoding="utf-8"?>
<ds:datastoreItem xmlns:ds="http://schemas.openxmlformats.org/officeDocument/2006/customXml" ds:itemID="{682A2B3C-0689-4C00-B11B-03ECAF5FD011}"/>
</file>

<file path=customXml/itemProps3.xml><?xml version="1.0" encoding="utf-8"?>
<ds:datastoreItem xmlns:ds="http://schemas.openxmlformats.org/officeDocument/2006/customXml" ds:itemID="{8C3BD794-BBA4-4174-BFEB-82DF6D81879A}"/>
</file>

<file path=customXml/itemProps4.xml><?xml version="1.0" encoding="utf-8"?>
<ds:datastoreItem xmlns:ds="http://schemas.openxmlformats.org/officeDocument/2006/customXml" ds:itemID="{5A96D7F9-752F-4D5C-AA8F-B78DCD945D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IKEA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sivb</dc:creator>
  <cp:keywords/>
  <dc:description/>
  <cp:lastModifiedBy>Arron Smith</cp:lastModifiedBy>
  <cp:revision/>
  <dcterms:created xsi:type="dcterms:W3CDTF">1999-06-03T12:36:06Z</dcterms:created>
  <dcterms:modified xsi:type="dcterms:W3CDTF">2025-07-09T12:19:57Z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c_System_Copyright">
    <vt:lpwstr/>
  </property>
  <property fmtid="{D5CDD505-2E9C-101B-9397-08002B2CF9AE}" pid="3" name="VideoRenditionLabel">
    <vt:lpwstr/>
  </property>
  <property fmtid="{D5CDD505-2E9C-101B-9397-08002B2CF9AE}" pid="4" name="AlternateThumbnailUrl">
    <vt:lpwstr/>
  </property>
  <property fmtid="{D5CDD505-2E9C-101B-9397-08002B2CF9AE}" pid="5" name="display_urn:schemas-microsoft-com:office:office#Editor">
    <vt:lpwstr>Per Hassling</vt:lpwstr>
  </property>
  <property fmtid="{D5CDD505-2E9C-101B-9397-08002B2CF9AE}" pid="6" name="display_urn:schemas-microsoft-com:office:office#Author">
    <vt:lpwstr>Per Hassling</vt:lpwstr>
  </property>
  <property fmtid="{D5CDD505-2E9C-101B-9397-08002B2CF9AE}" pid="7" name="_ExtendedDescription">
    <vt:lpwstr/>
  </property>
  <property fmtid="{D5CDD505-2E9C-101B-9397-08002B2CF9AE}" pid="8" name="Order">
    <vt:lpwstr>3400.00000000000</vt:lpwstr>
  </property>
  <property fmtid="{D5CDD505-2E9C-101B-9397-08002B2CF9AE}" pid="9" name="display_urn:schemas-microsoft-com:office:office#IIOwner">
    <vt:lpwstr>Per Hassling</vt:lpwstr>
  </property>
  <property fmtid="{D5CDD505-2E9C-101B-9397-08002B2CF9AE}" pid="10" name="ContentTypeId">
    <vt:lpwstr>0x010100B0BB42FBE72CD54B8563344DEEDAC3C0</vt:lpwstr>
  </property>
</Properties>
</file>