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weof-my.sharepoint.com/personal/connor_watts1_ingka_ikea_com/Documents/DC Resource Project/AI/"/>
    </mc:Choice>
  </mc:AlternateContent>
  <xr:revisionPtr revIDLastSave="283" documentId="8_{BF666606-C275-4EAA-8DA8-D9038B87561D}" xr6:coauthVersionLast="47" xr6:coauthVersionMax="47" xr10:uidLastSave="{CEBA5972-E152-41FA-AE93-4408EE967CD7}"/>
  <bookViews>
    <workbookView xWindow="28680" yWindow="-120" windowWidth="29040" windowHeight="15720" tabRatio="741" firstSheet="1" activeTab="1" xr2:uid="{00000000-000D-0000-FFFF-FFFF00000000}"/>
  </bookViews>
  <sheets>
    <sheet name="Labels" sheetId="7" state="hidden" r:id="rId1"/>
    <sheet name="Overview_Report" sheetId="1" r:id="rId2"/>
    <sheet name="Paste Here" sheetId="12" state="hidden" r:id="rId3"/>
    <sheet name="Sheet1" sheetId="11" state="hidden" r:id="rId4"/>
    <sheet name="Cognos_Office_Connection_Cache" sheetId="10" state="veryHidden" r:id="rId5"/>
    <sheet name="Act Data Set" sheetId="8" state="hidden" r:id="rId6"/>
    <sheet name="FC1 Data Set" sheetId="9" state="hidden" r:id="rId7"/>
    <sheet name="Inflow" sheetId="2" r:id="rId8"/>
    <sheet name="Outflow" sheetId="3" r:id="rId9"/>
    <sheet name="Handling + Stock" sheetId="4" r:id="rId10"/>
  </sheets>
  <definedNames>
    <definedName name="ID" localSheetId="5" hidden="1">"c2545508-4a12-4d89-bda3-e083943c39f8"</definedName>
    <definedName name="ID" localSheetId="4" hidden="1">"ff282674-13be-417e-b838-c7df67e82b66"</definedName>
    <definedName name="ID" localSheetId="6" hidden="1">"841ea103-3634-44cd-acf1-7044fba20ea4"</definedName>
    <definedName name="ID" localSheetId="9" hidden="1">"27337d96-6c8f-4255-83e7-739edfaeec23"</definedName>
    <definedName name="ID" localSheetId="7" hidden="1">"3e47b784-f9d0-4c21-8c27-3dbb7d82255e"</definedName>
    <definedName name="ID" localSheetId="0" hidden="1">"0ef16815-ca7b-4356-95fc-7cb7367d4fcd"</definedName>
    <definedName name="ID" localSheetId="8" hidden="1">"050a1841-21d3-4c38-a7c4-3494639c4a29"</definedName>
    <definedName name="ID" localSheetId="1" hidden="1">"e9089c69-a70f-4af6-ab08-d2341727c9bb"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3" i="4" l="1"/>
  <c r="L54" i="1"/>
  <c r="L51" i="9" s="1"/>
  <c r="K102" i="4" s="1"/>
  <c r="M54" i="1"/>
  <c r="M51" i="9" s="1"/>
  <c r="L102" i="4" s="1"/>
  <c r="N54" i="1"/>
  <c r="N51" i="9" s="1"/>
  <c r="M102" i="4" s="1"/>
  <c r="O54" i="1"/>
  <c r="O51" i="9" s="1"/>
  <c r="N102" i="4" s="1"/>
  <c r="P54" i="1"/>
  <c r="P51" i="9" s="1"/>
  <c r="O102" i="4" s="1"/>
  <c r="Q54" i="1"/>
  <c r="Q51" i="9" s="1"/>
  <c r="P102" i="4" s="1"/>
  <c r="R54" i="1"/>
  <c r="R51" i="9" s="1"/>
  <c r="Q102" i="4" s="1"/>
  <c r="S54" i="1"/>
  <c r="S51" i="9" s="1"/>
  <c r="R102" i="4" s="1"/>
  <c r="T54" i="1"/>
  <c r="T51" i="9" s="1"/>
  <c r="S102" i="4" s="1"/>
  <c r="U54" i="1"/>
  <c r="U51" i="9" s="1"/>
  <c r="T102" i="4" s="1"/>
  <c r="V54" i="1"/>
  <c r="V51" i="9" s="1"/>
  <c r="U102" i="4" s="1"/>
  <c r="W54" i="1"/>
  <c r="W51" i="9" s="1"/>
  <c r="V102" i="4" s="1"/>
  <c r="X54" i="1"/>
  <c r="X51" i="9" s="1"/>
  <c r="W102" i="4" s="1"/>
  <c r="Y54" i="1"/>
  <c r="Y51" i="9" s="1"/>
  <c r="X102" i="4" s="1"/>
  <c r="Z54" i="1"/>
  <c r="Z51" i="9" s="1"/>
  <c r="Y102" i="4" s="1"/>
  <c r="AA54" i="1"/>
  <c r="AA51" i="9" s="1"/>
  <c r="Z102" i="4" s="1"/>
  <c r="AB54" i="1"/>
  <c r="AB51" i="9" s="1"/>
  <c r="AA102" i="4" s="1"/>
  <c r="AC54" i="1"/>
  <c r="AC51" i="9" s="1"/>
  <c r="AB102" i="4" s="1"/>
  <c r="AD54" i="1"/>
  <c r="AD51" i="9" s="1"/>
  <c r="AC102" i="4" s="1"/>
  <c r="AE54" i="1"/>
  <c r="AE51" i="9" s="1"/>
  <c r="AD102" i="4" s="1"/>
  <c r="AF54" i="1"/>
  <c r="AF51" i="9" s="1"/>
  <c r="AE102" i="4" s="1"/>
  <c r="AG54" i="1"/>
  <c r="AG51" i="9" s="1"/>
  <c r="AF102" i="4" s="1"/>
  <c r="AH54" i="1"/>
  <c r="AH51" i="9" s="1"/>
  <c r="AG102" i="4" s="1"/>
  <c r="I54" i="1"/>
  <c r="I51" i="9" s="1"/>
  <c r="H102" i="4" s="1"/>
  <c r="J54" i="1"/>
  <c r="J51" i="9" s="1"/>
  <c r="I102" i="4" s="1"/>
  <c r="K54" i="1"/>
  <c r="K51" i="9" s="1"/>
  <c r="J102" i="4" s="1"/>
  <c r="D54" i="1"/>
  <c r="D51" i="8" s="1"/>
  <c r="C97" i="4" s="1"/>
  <c r="E54" i="1"/>
  <c r="E51" i="8" s="1"/>
  <c r="D97" i="4" s="1"/>
  <c r="F54" i="1"/>
  <c r="F51" i="8" s="1"/>
  <c r="E97" i="4" s="1"/>
  <c r="G54" i="1"/>
  <c r="G51" i="8" s="1"/>
  <c r="F97" i="4" s="1"/>
  <c r="H54" i="1"/>
  <c r="H51" i="8" s="1"/>
  <c r="G97" i="4" s="1"/>
  <c r="C54" i="1"/>
  <c r="C51" i="8" s="1"/>
  <c r="B97" i="4" s="1"/>
  <c r="J44" i="1"/>
  <c r="J41" i="9" s="1"/>
  <c r="I98" i="4" s="1"/>
  <c r="K44" i="1"/>
  <c r="K41" i="9" s="1"/>
  <c r="J98" i="4" s="1"/>
  <c r="L44" i="1"/>
  <c r="L41" i="9" s="1"/>
  <c r="K98" i="4" s="1"/>
  <c r="M44" i="1"/>
  <c r="M41" i="9" s="1"/>
  <c r="L98" i="4" s="1"/>
  <c r="N44" i="1"/>
  <c r="N41" i="9" s="1"/>
  <c r="M98" i="4" s="1"/>
  <c r="O44" i="1"/>
  <c r="O41" i="9" s="1"/>
  <c r="N98" i="4" s="1"/>
  <c r="P44" i="1"/>
  <c r="P41" i="9" s="1"/>
  <c r="O98" i="4" s="1"/>
  <c r="Q44" i="1"/>
  <c r="Q41" i="9" s="1"/>
  <c r="P98" i="4" s="1"/>
  <c r="R44" i="1"/>
  <c r="R41" i="9" s="1"/>
  <c r="Q98" i="4" s="1"/>
  <c r="S44" i="1"/>
  <c r="S41" i="9" s="1"/>
  <c r="R98" i="4" s="1"/>
  <c r="T44" i="1"/>
  <c r="T41" i="9" s="1"/>
  <c r="S98" i="4" s="1"/>
  <c r="U44" i="1"/>
  <c r="U41" i="9" s="1"/>
  <c r="T98" i="4" s="1"/>
  <c r="V44" i="1"/>
  <c r="V41" i="9" s="1"/>
  <c r="U98" i="4" s="1"/>
  <c r="W44" i="1"/>
  <c r="W41" i="9" s="1"/>
  <c r="V98" i="4" s="1"/>
  <c r="X44" i="1"/>
  <c r="X41" i="9" s="1"/>
  <c r="W98" i="4" s="1"/>
  <c r="Y44" i="1"/>
  <c r="Y41" i="9" s="1"/>
  <c r="X98" i="4" s="1"/>
  <c r="Z44" i="1"/>
  <c r="Z41" i="9" s="1"/>
  <c r="Y98" i="4" s="1"/>
  <c r="AA44" i="1"/>
  <c r="AA41" i="9" s="1"/>
  <c r="Z98" i="4" s="1"/>
  <c r="AB44" i="1"/>
  <c r="AB41" i="9" s="1"/>
  <c r="AA98" i="4" s="1"/>
  <c r="AC44" i="1"/>
  <c r="AC41" i="9" s="1"/>
  <c r="AB98" i="4" s="1"/>
  <c r="AD44" i="1"/>
  <c r="AD41" i="9" s="1"/>
  <c r="AC98" i="4" s="1"/>
  <c r="AE44" i="1"/>
  <c r="AE41" i="9" s="1"/>
  <c r="AD98" i="4" s="1"/>
  <c r="AF44" i="1"/>
  <c r="AF41" i="9" s="1"/>
  <c r="AE98" i="4" s="1"/>
  <c r="AG44" i="1"/>
  <c r="AG41" i="9" s="1"/>
  <c r="AF98" i="4" s="1"/>
  <c r="AH44" i="1"/>
  <c r="AH41" i="9" s="1"/>
  <c r="AG98" i="4" s="1"/>
  <c r="I44" i="1"/>
  <c r="I41" i="9" s="1"/>
  <c r="H98" i="4" s="1"/>
  <c r="D44" i="1"/>
  <c r="D41" i="8" s="1"/>
  <c r="C93" i="4" s="1"/>
  <c r="E44" i="1"/>
  <c r="E41" i="8" s="1"/>
  <c r="D93" i="4" s="1"/>
  <c r="F44" i="1"/>
  <c r="F41" i="8" s="1"/>
  <c r="E93" i="4" s="1"/>
  <c r="G44" i="1"/>
  <c r="G41" i="8" s="1"/>
  <c r="F93" i="4" s="1"/>
  <c r="H44" i="1"/>
  <c r="H41" i="8" s="1"/>
  <c r="G93" i="4" s="1"/>
  <c r="C44" i="1"/>
  <c r="C41" i="8" s="1"/>
  <c r="C19" i="1"/>
  <c r="C19" i="8" s="1"/>
  <c r="B18" i="3" s="1"/>
  <c r="A17" i="2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B8" i="7" s="1"/>
  <c r="H5" i="1"/>
  <c r="G5" i="1"/>
  <c r="F5" i="1"/>
  <c r="E5" i="1"/>
  <c r="D5" i="1"/>
  <c r="C5" i="1"/>
  <c r="AH53" i="1"/>
  <c r="AG53" i="1"/>
  <c r="AG50" i="9" s="1"/>
  <c r="AF73" i="4" s="1"/>
  <c r="AF53" i="1"/>
  <c r="AE53" i="1"/>
  <c r="AD53" i="1"/>
  <c r="AC53" i="1"/>
  <c r="AC50" i="9" s="1"/>
  <c r="AB53" i="1"/>
  <c r="AA53" i="1"/>
  <c r="AA50" i="9" s="1"/>
  <c r="Z53" i="1"/>
  <c r="Z50" i="9" s="1"/>
  <c r="Y53" i="1"/>
  <c r="Y50" i="9" s="1"/>
  <c r="X53" i="1"/>
  <c r="W53" i="1"/>
  <c r="V53" i="1"/>
  <c r="V50" i="9" s="1"/>
  <c r="U73" i="4" s="1"/>
  <c r="U53" i="1"/>
  <c r="T53" i="1"/>
  <c r="S53" i="1"/>
  <c r="S50" i="9" s="1"/>
  <c r="R73" i="4" s="1"/>
  <c r="R53" i="1"/>
  <c r="Q53" i="1"/>
  <c r="Q50" i="9" s="1"/>
  <c r="P53" i="1"/>
  <c r="O53" i="1"/>
  <c r="O50" i="9" s="1"/>
  <c r="N53" i="1"/>
  <c r="N50" i="9" s="1"/>
  <c r="M53" i="1"/>
  <c r="L53" i="1"/>
  <c r="K53" i="1"/>
  <c r="J53" i="1"/>
  <c r="J50" i="9" s="1"/>
  <c r="I73" i="4" s="1"/>
  <c r="I53" i="1"/>
  <c r="H53" i="1"/>
  <c r="G53" i="1"/>
  <c r="G50" i="8" s="1"/>
  <c r="F53" i="1"/>
  <c r="E53" i="1"/>
  <c r="D53" i="1"/>
  <c r="C53" i="1"/>
  <c r="AH52" i="1"/>
  <c r="AH49" i="9" s="1"/>
  <c r="AG99" i="4" s="1"/>
  <c r="AG52" i="1"/>
  <c r="AG49" i="9" s="1"/>
  <c r="AF99" i="4" s="1"/>
  <c r="AF52" i="1"/>
  <c r="AF49" i="9" s="1"/>
  <c r="AE99" i="4" s="1"/>
  <c r="AE52" i="1"/>
  <c r="AD52" i="1"/>
  <c r="AD49" i="9" s="1"/>
  <c r="AC99" i="4" s="1"/>
  <c r="AC52" i="1"/>
  <c r="AB52" i="1"/>
  <c r="AB49" i="9" s="1"/>
  <c r="AA99" i="4" s="1"/>
  <c r="AA52" i="1"/>
  <c r="AA49" i="9" s="1"/>
  <c r="Z99" i="4" s="1"/>
  <c r="Z52" i="1"/>
  <c r="Z49" i="9" s="1"/>
  <c r="Y99" i="4" s="1"/>
  <c r="Y52" i="1"/>
  <c r="X52" i="1"/>
  <c r="W52" i="1"/>
  <c r="W49" i="9" s="1"/>
  <c r="V99" i="4" s="1"/>
  <c r="V52" i="1"/>
  <c r="V49" i="9" s="1"/>
  <c r="U99" i="4" s="1"/>
  <c r="U52" i="1"/>
  <c r="U49" i="9" s="1"/>
  <c r="T99" i="4" s="1"/>
  <c r="T52" i="1"/>
  <c r="T49" i="9" s="1"/>
  <c r="S99" i="4" s="1"/>
  <c r="S52" i="1"/>
  <c r="S49" i="9" s="1"/>
  <c r="R99" i="4" s="1"/>
  <c r="R52" i="1"/>
  <c r="R49" i="9" s="1"/>
  <c r="Q52" i="1"/>
  <c r="P52" i="1"/>
  <c r="P49" i="9" s="1"/>
  <c r="O99" i="4" s="1"/>
  <c r="O52" i="1"/>
  <c r="O49" i="9" s="1"/>
  <c r="N99" i="4" s="1"/>
  <c r="N52" i="1"/>
  <c r="M52" i="1"/>
  <c r="L52" i="1"/>
  <c r="K52" i="1"/>
  <c r="K49" i="9" s="1"/>
  <c r="J99" i="4" s="1"/>
  <c r="J52" i="1"/>
  <c r="J49" i="9" s="1"/>
  <c r="I99" i="4" s="1"/>
  <c r="I52" i="1"/>
  <c r="I49" i="9" s="1"/>
  <c r="H99" i="4" s="1"/>
  <c r="H52" i="1"/>
  <c r="H49" i="8" s="1"/>
  <c r="G94" i="4" s="1"/>
  <c r="G52" i="1"/>
  <c r="G49" i="8" s="1"/>
  <c r="F94" i="4" s="1"/>
  <c r="F52" i="1"/>
  <c r="F49" i="8" s="1"/>
  <c r="E94" i="4" s="1"/>
  <c r="E52" i="1"/>
  <c r="D52" i="1"/>
  <c r="D49" i="8" s="1"/>
  <c r="C52" i="1"/>
  <c r="C49" i="8" s="1"/>
  <c r="B94" i="4" s="1"/>
  <c r="AH51" i="1"/>
  <c r="AH48" i="9" s="1"/>
  <c r="AG51" i="1"/>
  <c r="AG48" i="9" s="1"/>
  <c r="AF51" i="1"/>
  <c r="AF48" i="9" s="1"/>
  <c r="AE51" i="1"/>
  <c r="AE48" i="9" s="1"/>
  <c r="AD51" i="1"/>
  <c r="AD48" i="9" s="1"/>
  <c r="AC51" i="1"/>
  <c r="AC48" i="9" s="1"/>
  <c r="AB51" i="1"/>
  <c r="AB48" i="9" s="1"/>
  <c r="AA51" i="1"/>
  <c r="AA48" i="9" s="1"/>
  <c r="Z51" i="1"/>
  <c r="Z48" i="9" s="1"/>
  <c r="Y51" i="1"/>
  <c r="Y48" i="9" s="1"/>
  <c r="X51" i="1"/>
  <c r="X48" i="9" s="1"/>
  <c r="W51" i="1"/>
  <c r="W48" i="9" s="1"/>
  <c r="V51" i="1"/>
  <c r="V48" i="9" s="1"/>
  <c r="U51" i="1"/>
  <c r="U48" i="9" s="1"/>
  <c r="T51" i="1"/>
  <c r="T48" i="9" s="1"/>
  <c r="S51" i="1"/>
  <c r="S48" i="9" s="1"/>
  <c r="R51" i="1"/>
  <c r="R48" i="9" s="1"/>
  <c r="Q51" i="1"/>
  <c r="Q48" i="9" s="1"/>
  <c r="P51" i="1"/>
  <c r="P48" i="9" s="1"/>
  <c r="O51" i="1"/>
  <c r="O48" i="9" s="1"/>
  <c r="N51" i="1"/>
  <c r="N48" i="9" s="1"/>
  <c r="M51" i="1"/>
  <c r="M48" i="9" s="1"/>
  <c r="L51" i="1"/>
  <c r="L48" i="9" s="1"/>
  <c r="K51" i="1"/>
  <c r="K48" i="9" s="1"/>
  <c r="J51" i="1"/>
  <c r="J48" i="9" s="1"/>
  <c r="I51" i="1"/>
  <c r="I48" i="9" s="1"/>
  <c r="H51" i="1"/>
  <c r="H48" i="8" s="1"/>
  <c r="G51" i="1"/>
  <c r="G48" i="8" s="1"/>
  <c r="F51" i="1"/>
  <c r="F48" i="8" s="1"/>
  <c r="E51" i="1"/>
  <c r="E48" i="8" s="1"/>
  <c r="D51" i="1"/>
  <c r="D48" i="8" s="1"/>
  <c r="C51" i="1"/>
  <c r="C48" i="8" s="1"/>
  <c r="AH50" i="1"/>
  <c r="AH47" i="9" s="1"/>
  <c r="AG50" i="1"/>
  <c r="AG47" i="9" s="1"/>
  <c r="AF50" i="1"/>
  <c r="AF47" i="9" s="1"/>
  <c r="AE50" i="1"/>
  <c r="AE47" i="9" s="1"/>
  <c r="AD50" i="1"/>
  <c r="AD47" i="9" s="1"/>
  <c r="AC50" i="1"/>
  <c r="AC47" i="9" s="1"/>
  <c r="AB50" i="1"/>
  <c r="AB47" i="9" s="1"/>
  <c r="AA50" i="1"/>
  <c r="AA47" i="9" s="1"/>
  <c r="Z50" i="1"/>
  <c r="Z47" i="9" s="1"/>
  <c r="Y50" i="1"/>
  <c r="Y47" i="9" s="1"/>
  <c r="X50" i="1"/>
  <c r="X47" i="9" s="1"/>
  <c r="W50" i="1"/>
  <c r="W47" i="9" s="1"/>
  <c r="V50" i="1"/>
  <c r="V47" i="9" s="1"/>
  <c r="U50" i="1"/>
  <c r="U47" i="9" s="1"/>
  <c r="T50" i="1"/>
  <c r="T47" i="9" s="1"/>
  <c r="S50" i="1"/>
  <c r="S47" i="9" s="1"/>
  <c r="R50" i="1"/>
  <c r="R47" i="9" s="1"/>
  <c r="Q50" i="1"/>
  <c r="Q47" i="9" s="1"/>
  <c r="P50" i="1"/>
  <c r="P47" i="9" s="1"/>
  <c r="O50" i="1"/>
  <c r="O47" i="9" s="1"/>
  <c r="N50" i="1"/>
  <c r="N47" i="9" s="1"/>
  <c r="M50" i="1"/>
  <c r="M47" i="9" s="1"/>
  <c r="L50" i="1"/>
  <c r="L47" i="9" s="1"/>
  <c r="K50" i="1"/>
  <c r="K47" i="9" s="1"/>
  <c r="J50" i="1"/>
  <c r="J47" i="9" s="1"/>
  <c r="I50" i="1"/>
  <c r="I47" i="9" s="1"/>
  <c r="H50" i="1"/>
  <c r="H47" i="8" s="1"/>
  <c r="G50" i="1"/>
  <c r="G47" i="8" s="1"/>
  <c r="F50" i="1"/>
  <c r="F47" i="8" s="1"/>
  <c r="E50" i="1"/>
  <c r="E47" i="8" s="1"/>
  <c r="D50" i="1"/>
  <c r="D47" i="8" s="1"/>
  <c r="C50" i="1"/>
  <c r="C47" i="8" s="1"/>
  <c r="AH49" i="1"/>
  <c r="AH46" i="9" s="1"/>
  <c r="AG49" i="1"/>
  <c r="AG46" i="9" s="1"/>
  <c r="AF49" i="1"/>
  <c r="AF46" i="9" s="1"/>
  <c r="AE49" i="1"/>
  <c r="AE46" i="9" s="1"/>
  <c r="AD49" i="1"/>
  <c r="AD46" i="9" s="1"/>
  <c r="AC49" i="1"/>
  <c r="AC46" i="9" s="1"/>
  <c r="AB49" i="1"/>
  <c r="AB46" i="9" s="1"/>
  <c r="AA49" i="1"/>
  <c r="AA46" i="9" s="1"/>
  <c r="Z49" i="1"/>
  <c r="Z46" i="9" s="1"/>
  <c r="Y49" i="1"/>
  <c r="Y46" i="9" s="1"/>
  <c r="X49" i="1"/>
  <c r="X46" i="9" s="1"/>
  <c r="W49" i="1"/>
  <c r="W46" i="9" s="1"/>
  <c r="V49" i="1"/>
  <c r="V46" i="9" s="1"/>
  <c r="U49" i="1"/>
  <c r="U46" i="9" s="1"/>
  <c r="T49" i="1"/>
  <c r="T46" i="9" s="1"/>
  <c r="S49" i="1"/>
  <c r="S46" i="9" s="1"/>
  <c r="R49" i="1"/>
  <c r="R46" i="9" s="1"/>
  <c r="Q49" i="1"/>
  <c r="Q46" i="9" s="1"/>
  <c r="P49" i="1"/>
  <c r="P46" i="9" s="1"/>
  <c r="O49" i="1"/>
  <c r="O46" i="9" s="1"/>
  <c r="N49" i="1"/>
  <c r="N46" i="9" s="1"/>
  <c r="M49" i="1"/>
  <c r="M46" i="9" s="1"/>
  <c r="L49" i="1"/>
  <c r="L46" i="9" s="1"/>
  <c r="K49" i="1"/>
  <c r="K46" i="9" s="1"/>
  <c r="J49" i="1"/>
  <c r="J46" i="9" s="1"/>
  <c r="I49" i="1"/>
  <c r="I46" i="9" s="1"/>
  <c r="H49" i="1"/>
  <c r="H46" i="8" s="1"/>
  <c r="G49" i="1"/>
  <c r="G46" i="8" s="1"/>
  <c r="F49" i="1"/>
  <c r="F46" i="8" s="1"/>
  <c r="E49" i="1"/>
  <c r="E46" i="8" s="1"/>
  <c r="D49" i="1"/>
  <c r="D46" i="8" s="1"/>
  <c r="C49" i="1"/>
  <c r="C46" i="8" s="1"/>
  <c r="AH48" i="1"/>
  <c r="AH45" i="9" s="1"/>
  <c r="AG48" i="1"/>
  <c r="AG45" i="9" s="1"/>
  <c r="AF48" i="1"/>
  <c r="AF45" i="9" s="1"/>
  <c r="AE48" i="1"/>
  <c r="AE45" i="9" s="1"/>
  <c r="AD48" i="1"/>
  <c r="AD45" i="9" s="1"/>
  <c r="AC48" i="1"/>
  <c r="AC45" i="9" s="1"/>
  <c r="AB48" i="1"/>
  <c r="AB45" i="9" s="1"/>
  <c r="AA48" i="1"/>
  <c r="AA45" i="9" s="1"/>
  <c r="Z48" i="1"/>
  <c r="Z45" i="9" s="1"/>
  <c r="Y48" i="1"/>
  <c r="Y45" i="9" s="1"/>
  <c r="X48" i="1"/>
  <c r="X45" i="9" s="1"/>
  <c r="W48" i="1"/>
  <c r="W45" i="9" s="1"/>
  <c r="V48" i="1"/>
  <c r="V45" i="9" s="1"/>
  <c r="U48" i="1"/>
  <c r="U45" i="9" s="1"/>
  <c r="T48" i="1"/>
  <c r="T45" i="9" s="1"/>
  <c r="S48" i="1"/>
  <c r="S45" i="9" s="1"/>
  <c r="R48" i="1"/>
  <c r="R45" i="9" s="1"/>
  <c r="Q48" i="1"/>
  <c r="Q45" i="9" s="1"/>
  <c r="P48" i="1"/>
  <c r="P45" i="9" s="1"/>
  <c r="O48" i="1"/>
  <c r="O45" i="9" s="1"/>
  <c r="N48" i="1"/>
  <c r="N45" i="9" s="1"/>
  <c r="M48" i="1"/>
  <c r="M45" i="9" s="1"/>
  <c r="L48" i="1"/>
  <c r="L45" i="9" s="1"/>
  <c r="K48" i="1"/>
  <c r="K45" i="9" s="1"/>
  <c r="J48" i="1"/>
  <c r="J45" i="9" s="1"/>
  <c r="I48" i="1"/>
  <c r="I45" i="9" s="1"/>
  <c r="H48" i="1"/>
  <c r="H45" i="8" s="1"/>
  <c r="G48" i="1"/>
  <c r="G45" i="8" s="1"/>
  <c r="F48" i="1"/>
  <c r="F45" i="8" s="1"/>
  <c r="E48" i="1"/>
  <c r="E45" i="8" s="1"/>
  <c r="D48" i="1"/>
  <c r="D45" i="8" s="1"/>
  <c r="C48" i="1"/>
  <c r="C45" i="8" s="1"/>
  <c r="AH47" i="1"/>
  <c r="AH44" i="9" s="1"/>
  <c r="AG47" i="1"/>
  <c r="AG44" i="9" s="1"/>
  <c r="AF47" i="1"/>
  <c r="AF44" i="9" s="1"/>
  <c r="AE47" i="1"/>
  <c r="AE44" i="9" s="1"/>
  <c r="AD47" i="1"/>
  <c r="AD44" i="9" s="1"/>
  <c r="AC47" i="1"/>
  <c r="AC44" i="9" s="1"/>
  <c r="AB47" i="1"/>
  <c r="AB44" i="9" s="1"/>
  <c r="AA47" i="1"/>
  <c r="AA44" i="9" s="1"/>
  <c r="Z47" i="1"/>
  <c r="Z44" i="9" s="1"/>
  <c r="Y47" i="1"/>
  <c r="Y44" i="9" s="1"/>
  <c r="X47" i="1"/>
  <c r="X44" i="9" s="1"/>
  <c r="W47" i="1"/>
  <c r="W44" i="9" s="1"/>
  <c r="V47" i="1"/>
  <c r="V44" i="9" s="1"/>
  <c r="U47" i="1"/>
  <c r="U44" i="9" s="1"/>
  <c r="T47" i="1"/>
  <c r="T44" i="9" s="1"/>
  <c r="S47" i="1"/>
  <c r="S44" i="9" s="1"/>
  <c r="R47" i="1"/>
  <c r="R44" i="9" s="1"/>
  <c r="Q47" i="1"/>
  <c r="Q44" i="9" s="1"/>
  <c r="P47" i="1"/>
  <c r="P44" i="9" s="1"/>
  <c r="O47" i="1"/>
  <c r="O44" i="9" s="1"/>
  <c r="N47" i="1"/>
  <c r="N44" i="9" s="1"/>
  <c r="M47" i="1"/>
  <c r="M44" i="9" s="1"/>
  <c r="L47" i="1"/>
  <c r="L44" i="9" s="1"/>
  <c r="K47" i="1"/>
  <c r="K44" i="9" s="1"/>
  <c r="J47" i="1"/>
  <c r="J44" i="9" s="1"/>
  <c r="I47" i="1"/>
  <c r="I44" i="9" s="1"/>
  <c r="H47" i="1"/>
  <c r="H44" i="8" s="1"/>
  <c r="G47" i="1"/>
  <c r="G44" i="8" s="1"/>
  <c r="F47" i="1"/>
  <c r="F44" i="8" s="1"/>
  <c r="E47" i="1"/>
  <c r="E44" i="8" s="1"/>
  <c r="D47" i="1"/>
  <c r="D44" i="8" s="1"/>
  <c r="C47" i="1"/>
  <c r="C44" i="8" s="1"/>
  <c r="AH46" i="1"/>
  <c r="AH43" i="9" s="1"/>
  <c r="AG46" i="1"/>
  <c r="AG43" i="9" s="1"/>
  <c r="AF46" i="1"/>
  <c r="AF43" i="9" s="1"/>
  <c r="AE46" i="1"/>
  <c r="AE43" i="9" s="1"/>
  <c r="AD46" i="1"/>
  <c r="AD43" i="9" s="1"/>
  <c r="AC46" i="1"/>
  <c r="AC43" i="9" s="1"/>
  <c r="AB46" i="1"/>
  <c r="AB43" i="9" s="1"/>
  <c r="AA46" i="1"/>
  <c r="AA43" i="9" s="1"/>
  <c r="Z46" i="1"/>
  <c r="Z43" i="9" s="1"/>
  <c r="Y46" i="1"/>
  <c r="Y43" i="9" s="1"/>
  <c r="X46" i="1"/>
  <c r="X43" i="9" s="1"/>
  <c r="W46" i="1"/>
  <c r="W43" i="9" s="1"/>
  <c r="V46" i="1"/>
  <c r="V43" i="9" s="1"/>
  <c r="U46" i="1"/>
  <c r="U43" i="9" s="1"/>
  <c r="T46" i="1"/>
  <c r="T43" i="9" s="1"/>
  <c r="S46" i="1"/>
  <c r="S43" i="9" s="1"/>
  <c r="R46" i="1"/>
  <c r="R43" i="9" s="1"/>
  <c r="Q46" i="1"/>
  <c r="Q43" i="9" s="1"/>
  <c r="P46" i="1"/>
  <c r="P43" i="9" s="1"/>
  <c r="O46" i="1"/>
  <c r="O43" i="9" s="1"/>
  <c r="N46" i="1"/>
  <c r="N43" i="9" s="1"/>
  <c r="M46" i="1"/>
  <c r="M43" i="9" s="1"/>
  <c r="L46" i="1"/>
  <c r="L43" i="9" s="1"/>
  <c r="K46" i="1"/>
  <c r="K43" i="9" s="1"/>
  <c r="J46" i="1"/>
  <c r="J43" i="9" s="1"/>
  <c r="I46" i="1"/>
  <c r="I43" i="9" s="1"/>
  <c r="H46" i="1"/>
  <c r="H43" i="8" s="1"/>
  <c r="G46" i="1"/>
  <c r="G43" i="8" s="1"/>
  <c r="F46" i="1"/>
  <c r="F43" i="8" s="1"/>
  <c r="E46" i="1"/>
  <c r="E43" i="8" s="1"/>
  <c r="D46" i="1"/>
  <c r="D43" i="8" s="1"/>
  <c r="C46" i="1"/>
  <c r="C43" i="8" s="1"/>
  <c r="AH45" i="1"/>
  <c r="AG45" i="1"/>
  <c r="AG42" i="9" s="1"/>
  <c r="AF45" i="1"/>
  <c r="AE45" i="1"/>
  <c r="AE42" i="9" s="1"/>
  <c r="AD45" i="1"/>
  <c r="AD42" i="9" s="1"/>
  <c r="AC45" i="1"/>
  <c r="AC42" i="9" s="1"/>
  <c r="AB45" i="1"/>
  <c r="AB42" i="9" s="1"/>
  <c r="AA45" i="1"/>
  <c r="Z45" i="1"/>
  <c r="Z42" i="9" s="1"/>
  <c r="Y45" i="1"/>
  <c r="X45" i="1"/>
  <c r="W45" i="1"/>
  <c r="W42" i="9" s="1"/>
  <c r="V45" i="1"/>
  <c r="U45" i="1"/>
  <c r="T45" i="1"/>
  <c r="S45" i="1"/>
  <c r="S42" i="9" s="1"/>
  <c r="R45" i="1"/>
  <c r="R42" i="9" s="1"/>
  <c r="Q45" i="1"/>
  <c r="Q42" i="9" s="1"/>
  <c r="P45" i="1"/>
  <c r="P42" i="9" s="1"/>
  <c r="O45" i="1"/>
  <c r="N45" i="1"/>
  <c r="N42" i="9" s="1"/>
  <c r="M45" i="1"/>
  <c r="L45" i="1"/>
  <c r="K45" i="1"/>
  <c r="K42" i="9" s="1"/>
  <c r="J45" i="1"/>
  <c r="I45" i="1"/>
  <c r="I42" i="9" s="1"/>
  <c r="H45" i="1"/>
  <c r="H42" i="8" s="1"/>
  <c r="G45" i="1"/>
  <c r="G42" i="8" s="1"/>
  <c r="F45" i="1"/>
  <c r="F42" i="8" s="1"/>
  <c r="E45" i="1"/>
  <c r="D45" i="1"/>
  <c r="C45" i="1"/>
  <c r="AH43" i="1"/>
  <c r="AH40" i="9" s="1"/>
  <c r="AG101" i="4" s="1"/>
  <c r="AG43" i="1"/>
  <c r="AG40" i="9" s="1"/>
  <c r="AF101" i="4" s="1"/>
  <c r="AF43" i="1"/>
  <c r="AF40" i="9" s="1"/>
  <c r="AE101" i="4" s="1"/>
  <c r="AE43" i="1"/>
  <c r="AE40" i="9" s="1"/>
  <c r="AD101" i="4" s="1"/>
  <c r="AD43" i="1"/>
  <c r="AD40" i="9" s="1"/>
  <c r="AC101" i="4" s="1"/>
  <c r="AC43" i="1"/>
  <c r="AC40" i="9" s="1"/>
  <c r="AB101" i="4" s="1"/>
  <c r="AB43" i="1"/>
  <c r="AB40" i="9" s="1"/>
  <c r="AA101" i="4" s="1"/>
  <c r="AA43" i="1"/>
  <c r="AA40" i="9" s="1"/>
  <c r="Z101" i="4" s="1"/>
  <c r="Z43" i="1"/>
  <c r="Z40" i="9" s="1"/>
  <c r="Y101" i="4" s="1"/>
  <c r="Y43" i="1"/>
  <c r="Y40" i="9" s="1"/>
  <c r="X101" i="4" s="1"/>
  <c r="X43" i="1"/>
  <c r="X40" i="9" s="1"/>
  <c r="W101" i="4" s="1"/>
  <c r="W43" i="1"/>
  <c r="W40" i="9" s="1"/>
  <c r="V101" i="4" s="1"/>
  <c r="V43" i="1"/>
  <c r="V40" i="9" s="1"/>
  <c r="U101" i="4" s="1"/>
  <c r="U43" i="1"/>
  <c r="U40" i="9" s="1"/>
  <c r="T101" i="4" s="1"/>
  <c r="T43" i="1"/>
  <c r="T40" i="9" s="1"/>
  <c r="S101" i="4" s="1"/>
  <c r="S43" i="1"/>
  <c r="S40" i="9" s="1"/>
  <c r="R101" i="4" s="1"/>
  <c r="R43" i="1"/>
  <c r="R40" i="9" s="1"/>
  <c r="Q101" i="4" s="1"/>
  <c r="Q43" i="1"/>
  <c r="Q40" i="9" s="1"/>
  <c r="P101" i="4" s="1"/>
  <c r="P43" i="1"/>
  <c r="P40" i="9" s="1"/>
  <c r="O101" i="4" s="1"/>
  <c r="O43" i="1"/>
  <c r="O40" i="9" s="1"/>
  <c r="N101" i="4" s="1"/>
  <c r="N43" i="1"/>
  <c r="N40" i="9" s="1"/>
  <c r="M101" i="4" s="1"/>
  <c r="M43" i="1"/>
  <c r="M40" i="9" s="1"/>
  <c r="L101" i="4" s="1"/>
  <c r="L43" i="1"/>
  <c r="L40" i="9" s="1"/>
  <c r="K101" i="4" s="1"/>
  <c r="K43" i="1"/>
  <c r="K40" i="9" s="1"/>
  <c r="J101" i="4" s="1"/>
  <c r="J43" i="1"/>
  <c r="J40" i="9" s="1"/>
  <c r="I101" i="4" s="1"/>
  <c r="I43" i="1"/>
  <c r="I40" i="9" s="1"/>
  <c r="H101" i="4" s="1"/>
  <c r="H43" i="1"/>
  <c r="H40" i="8" s="1"/>
  <c r="G96" i="4" s="1"/>
  <c r="G43" i="1"/>
  <c r="G40" i="8" s="1"/>
  <c r="F96" i="4" s="1"/>
  <c r="F43" i="1"/>
  <c r="F40" i="8" s="1"/>
  <c r="E96" i="4" s="1"/>
  <c r="E43" i="1"/>
  <c r="E40" i="8" s="1"/>
  <c r="D96" i="4" s="1"/>
  <c r="D43" i="1"/>
  <c r="D40" i="8" s="1"/>
  <c r="C96" i="4" s="1"/>
  <c r="C43" i="1"/>
  <c r="C40" i="8" s="1"/>
  <c r="B96" i="4" s="1"/>
  <c r="AH42" i="1"/>
  <c r="AG42" i="1"/>
  <c r="AG39" i="9" s="1"/>
  <c r="AF100" i="4" s="1"/>
  <c r="AF90" i="4" s="1"/>
  <c r="AF42" i="1"/>
  <c r="AE42" i="1"/>
  <c r="AD42" i="1"/>
  <c r="AC42" i="1"/>
  <c r="AB42" i="1"/>
  <c r="AA42" i="1"/>
  <c r="Z42" i="1"/>
  <c r="Y42" i="1"/>
  <c r="X42" i="1"/>
  <c r="W42" i="1"/>
  <c r="V42" i="1"/>
  <c r="U42" i="1"/>
  <c r="U39" i="9" s="1"/>
  <c r="T100" i="4" s="1"/>
  <c r="T90" i="4" s="1"/>
  <c r="T42" i="1"/>
  <c r="T39" i="9" s="1"/>
  <c r="S100" i="4" s="1"/>
  <c r="S90" i="4" s="1"/>
  <c r="S42" i="1"/>
  <c r="R42" i="1"/>
  <c r="Q42" i="1"/>
  <c r="P42" i="1"/>
  <c r="O42" i="1"/>
  <c r="N42" i="1"/>
  <c r="M42" i="1"/>
  <c r="L42" i="1"/>
  <c r="K42" i="1"/>
  <c r="J42" i="1"/>
  <c r="I42" i="1"/>
  <c r="H42" i="1"/>
  <c r="H39" i="8" s="1"/>
  <c r="G95" i="4" s="1"/>
  <c r="G42" i="1"/>
  <c r="F42" i="1"/>
  <c r="F39" i="8" s="1"/>
  <c r="E95" i="4" s="1"/>
  <c r="E42" i="1"/>
  <c r="D42" i="1"/>
  <c r="D39" i="8" s="1"/>
  <c r="C95" i="4" s="1"/>
  <c r="C88" i="4" s="1"/>
  <c r="C42" i="1"/>
  <c r="C39" i="8" s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H40" i="1"/>
  <c r="A28" i="11" s="1"/>
  <c r="AG40" i="1"/>
  <c r="AG38" i="9" s="1"/>
  <c r="AF40" i="1"/>
  <c r="AF38" i="9" s="1"/>
  <c r="AE40" i="1"/>
  <c r="A25" i="11" s="1"/>
  <c r="AD40" i="1"/>
  <c r="AD38" i="9" s="1"/>
  <c r="AC40" i="1"/>
  <c r="AC38" i="9" s="1"/>
  <c r="AB40" i="1"/>
  <c r="AA40" i="1"/>
  <c r="AA38" i="9" s="1"/>
  <c r="Z40" i="1"/>
  <c r="Y40" i="1"/>
  <c r="X40" i="1"/>
  <c r="W40" i="1"/>
  <c r="V40" i="1"/>
  <c r="A16" i="11" s="1"/>
  <c r="U40" i="1"/>
  <c r="U38" i="9" s="1"/>
  <c r="T40" i="1"/>
  <c r="T38" i="9" s="1"/>
  <c r="S40" i="1"/>
  <c r="S38" i="9" s="1"/>
  <c r="R40" i="1"/>
  <c r="R38" i="9" s="1"/>
  <c r="Q40" i="1"/>
  <c r="P40" i="1"/>
  <c r="A10" i="11" s="1"/>
  <c r="O40" i="1"/>
  <c r="O38" i="9" s="1"/>
  <c r="N40" i="1"/>
  <c r="A8" i="11" s="1"/>
  <c r="M40" i="1"/>
  <c r="L40" i="1"/>
  <c r="L38" i="9" s="1"/>
  <c r="K40" i="1"/>
  <c r="J40" i="1"/>
  <c r="J38" i="9" s="1"/>
  <c r="I40" i="1"/>
  <c r="A3" i="11" s="1"/>
  <c r="H40" i="1"/>
  <c r="H38" i="8" s="1"/>
  <c r="G40" i="1"/>
  <c r="G38" i="8" s="1"/>
  <c r="F40" i="1"/>
  <c r="F38" i="8" s="1"/>
  <c r="E40" i="1"/>
  <c r="E38" i="8" s="1"/>
  <c r="D40" i="1"/>
  <c r="D38" i="8" s="1"/>
  <c r="C40" i="1"/>
  <c r="C38" i="8" s="1"/>
  <c r="AH39" i="1"/>
  <c r="AH37" i="9" s="1"/>
  <c r="AG39" i="1"/>
  <c r="AG37" i="9" s="1"/>
  <c r="AF39" i="1"/>
  <c r="AF37" i="9" s="1"/>
  <c r="AE39" i="1"/>
  <c r="AE37" i="9" s="1"/>
  <c r="AD39" i="1"/>
  <c r="AD37" i="9" s="1"/>
  <c r="AC39" i="1"/>
  <c r="AC37" i="9" s="1"/>
  <c r="AB39" i="1"/>
  <c r="AB37" i="9" s="1"/>
  <c r="AA39" i="1"/>
  <c r="AA37" i="9" s="1"/>
  <c r="Z39" i="1"/>
  <c r="Z37" i="9" s="1"/>
  <c r="Y39" i="1"/>
  <c r="Y37" i="9" s="1"/>
  <c r="X39" i="1"/>
  <c r="X37" i="9" s="1"/>
  <c r="W39" i="1"/>
  <c r="W37" i="9" s="1"/>
  <c r="V39" i="1"/>
  <c r="V37" i="9" s="1"/>
  <c r="U39" i="1"/>
  <c r="U37" i="9" s="1"/>
  <c r="T39" i="1"/>
  <c r="T37" i="9" s="1"/>
  <c r="S39" i="1"/>
  <c r="S37" i="9" s="1"/>
  <c r="R39" i="1"/>
  <c r="R37" i="9" s="1"/>
  <c r="Q39" i="1"/>
  <c r="Q37" i="9" s="1"/>
  <c r="P39" i="1"/>
  <c r="P37" i="9" s="1"/>
  <c r="O39" i="1"/>
  <c r="O37" i="9" s="1"/>
  <c r="N39" i="1"/>
  <c r="N37" i="9" s="1"/>
  <c r="M39" i="1"/>
  <c r="M37" i="9" s="1"/>
  <c r="L39" i="1"/>
  <c r="L37" i="9" s="1"/>
  <c r="K39" i="1"/>
  <c r="K37" i="9" s="1"/>
  <c r="J39" i="1"/>
  <c r="J37" i="9" s="1"/>
  <c r="I39" i="1"/>
  <c r="I37" i="9" s="1"/>
  <c r="H39" i="1"/>
  <c r="H37" i="8" s="1"/>
  <c r="G39" i="1"/>
  <c r="G37" i="8" s="1"/>
  <c r="F39" i="1"/>
  <c r="F37" i="8" s="1"/>
  <c r="E39" i="1"/>
  <c r="E37" i="8" s="1"/>
  <c r="D39" i="1"/>
  <c r="D37" i="8" s="1"/>
  <c r="C39" i="1"/>
  <c r="C37" i="8" s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H37" i="1"/>
  <c r="AH36" i="9" s="1"/>
  <c r="AG46" i="4" s="1"/>
  <c r="AG37" i="1"/>
  <c r="AG36" i="9" s="1"/>
  <c r="AF46" i="4" s="1"/>
  <c r="AF37" i="1"/>
  <c r="AF36" i="9" s="1"/>
  <c r="AE46" i="4" s="1"/>
  <c r="AE37" i="1"/>
  <c r="AE36" i="9" s="1"/>
  <c r="AD46" i="4" s="1"/>
  <c r="AD37" i="1"/>
  <c r="AD36" i="9" s="1"/>
  <c r="AC46" i="4" s="1"/>
  <c r="AC37" i="1"/>
  <c r="AC36" i="9" s="1"/>
  <c r="AB46" i="4" s="1"/>
  <c r="AB37" i="1"/>
  <c r="AB36" i="9" s="1"/>
  <c r="AA46" i="4" s="1"/>
  <c r="AA37" i="1"/>
  <c r="AA36" i="9" s="1"/>
  <c r="Z46" i="4" s="1"/>
  <c r="Z37" i="1"/>
  <c r="Z36" i="9" s="1"/>
  <c r="Y46" i="4" s="1"/>
  <c r="Y37" i="1"/>
  <c r="Y36" i="9" s="1"/>
  <c r="X46" i="4" s="1"/>
  <c r="X37" i="1"/>
  <c r="X36" i="9" s="1"/>
  <c r="W46" i="4" s="1"/>
  <c r="W37" i="1"/>
  <c r="W36" i="9" s="1"/>
  <c r="V46" i="4" s="1"/>
  <c r="V37" i="1"/>
  <c r="V36" i="9" s="1"/>
  <c r="U46" i="4" s="1"/>
  <c r="U37" i="1"/>
  <c r="U36" i="9" s="1"/>
  <c r="T46" i="4" s="1"/>
  <c r="T37" i="1"/>
  <c r="T36" i="9" s="1"/>
  <c r="S46" i="4" s="1"/>
  <c r="S37" i="1"/>
  <c r="S36" i="9" s="1"/>
  <c r="R46" i="4" s="1"/>
  <c r="R37" i="1"/>
  <c r="R36" i="9" s="1"/>
  <c r="Q46" i="4" s="1"/>
  <c r="Q37" i="1"/>
  <c r="Q36" i="9" s="1"/>
  <c r="P46" i="4" s="1"/>
  <c r="P37" i="1"/>
  <c r="P36" i="9" s="1"/>
  <c r="O46" i="4" s="1"/>
  <c r="O37" i="1"/>
  <c r="O36" i="9" s="1"/>
  <c r="N46" i="4" s="1"/>
  <c r="N37" i="1"/>
  <c r="N36" i="9" s="1"/>
  <c r="M46" i="4" s="1"/>
  <c r="M37" i="1"/>
  <c r="M36" i="9" s="1"/>
  <c r="L46" i="4" s="1"/>
  <c r="L37" i="1"/>
  <c r="L36" i="9" s="1"/>
  <c r="K46" i="4" s="1"/>
  <c r="K37" i="1"/>
  <c r="K36" i="9" s="1"/>
  <c r="J46" i="4" s="1"/>
  <c r="J37" i="1"/>
  <c r="J36" i="9" s="1"/>
  <c r="I46" i="4" s="1"/>
  <c r="I37" i="1"/>
  <c r="I36" i="9" s="1"/>
  <c r="H46" i="4" s="1"/>
  <c r="H37" i="1"/>
  <c r="H36" i="8" s="1"/>
  <c r="G43" i="4" s="1"/>
  <c r="G37" i="1"/>
  <c r="G36" i="8" s="1"/>
  <c r="F43" i="4" s="1"/>
  <c r="F37" i="1"/>
  <c r="F36" i="8" s="1"/>
  <c r="E43" i="4" s="1"/>
  <c r="E37" i="1"/>
  <c r="E36" i="8" s="1"/>
  <c r="D43" i="4" s="1"/>
  <c r="D37" i="1"/>
  <c r="D36" i="8" s="1"/>
  <c r="C43" i="4" s="1"/>
  <c r="C37" i="1"/>
  <c r="C36" i="8" s="1"/>
  <c r="B43" i="4" s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H35" i="1"/>
  <c r="AH35" i="9" s="1"/>
  <c r="AG45" i="4" s="1"/>
  <c r="AG35" i="1"/>
  <c r="AG35" i="9" s="1"/>
  <c r="AF45" i="4" s="1"/>
  <c r="AF35" i="1"/>
  <c r="AF35" i="9" s="1"/>
  <c r="AE45" i="4" s="1"/>
  <c r="AE35" i="1"/>
  <c r="AE35" i="9" s="1"/>
  <c r="AD45" i="4" s="1"/>
  <c r="AD35" i="1"/>
  <c r="AD35" i="9" s="1"/>
  <c r="AC45" i="4" s="1"/>
  <c r="AC35" i="1"/>
  <c r="AC35" i="9" s="1"/>
  <c r="AB45" i="4" s="1"/>
  <c r="AB35" i="1"/>
  <c r="AB35" i="9" s="1"/>
  <c r="AA45" i="4" s="1"/>
  <c r="AA35" i="1"/>
  <c r="AA35" i="9" s="1"/>
  <c r="Z45" i="4" s="1"/>
  <c r="Z35" i="1"/>
  <c r="Z35" i="9" s="1"/>
  <c r="Y45" i="4" s="1"/>
  <c r="Y35" i="1"/>
  <c r="Y35" i="9" s="1"/>
  <c r="X45" i="4" s="1"/>
  <c r="X35" i="1"/>
  <c r="X35" i="9" s="1"/>
  <c r="W45" i="4" s="1"/>
  <c r="W35" i="1"/>
  <c r="W35" i="9" s="1"/>
  <c r="V45" i="4" s="1"/>
  <c r="V35" i="1"/>
  <c r="V35" i="9" s="1"/>
  <c r="U45" i="4" s="1"/>
  <c r="U35" i="1"/>
  <c r="U35" i="9" s="1"/>
  <c r="T45" i="4" s="1"/>
  <c r="T35" i="1"/>
  <c r="T35" i="9" s="1"/>
  <c r="S45" i="4" s="1"/>
  <c r="S35" i="1"/>
  <c r="S35" i="9" s="1"/>
  <c r="R45" i="4" s="1"/>
  <c r="R35" i="1"/>
  <c r="R35" i="9" s="1"/>
  <c r="Q45" i="4" s="1"/>
  <c r="Q35" i="1"/>
  <c r="Q35" i="9" s="1"/>
  <c r="P45" i="4" s="1"/>
  <c r="P35" i="1"/>
  <c r="P35" i="9" s="1"/>
  <c r="O45" i="4" s="1"/>
  <c r="O35" i="1"/>
  <c r="O35" i="9" s="1"/>
  <c r="N45" i="4" s="1"/>
  <c r="N35" i="1"/>
  <c r="N35" i="9" s="1"/>
  <c r="M45" i="4" s="1"/>
  <c r="M35" i="1"/>
  <c r="M35" i="9" s="1"/>
  <c r="L45" i="4" s="1"/>
  <c r="L35" i="1"/>
  <c r="L35" i="9" s="1"/>
  <c r="K45" i="4" s="1"/>
  <c r="K35" i="1"/>
  <c r="K35" i="9" s="1"/>
  <c r="J45" i="4" s="1"/>
  <c r="J35" i="1"/>
  <c r="J35" i="9" s="1"/>
  <c r="I45" i="4" s="1"/>
  <c r="I35" i="1"/>
  <c r="I35" i="9" s="1"/>
  <c r="H45" i="4" s="1"/>
  <c r="H35" i="1"/>
  <c r="H35" i="8" s="1"/>
  <c r="G42" i="4" s="1"/>
  <c r="G35" i="1"/>
  <c r="G35" i="8" s="1"/>
  <c r="F42" i="4" s="1"/>
  <c r="F35" i="1"/>
  <c r="F35" i="8" s="1"/>
  <c r="E42" i="4" s="1"/>
  <c r="E35" i="1"/>
  <c r="E35" i="8" s="1"/>
  <c r="D42" i="4" s="1"/>
  <c r="D35" i="1"/>
  <c r="D35" i="8" s="1"/>
  <c r="C42" i="4" s="1"/>
  <c r="C35" i="1"/>
  <c r="C35" i="8" s="1"/>
  <c r="B42" i="4" s="1"/>
  <c r="AH34" i="1"/>
  <c r="AH34" i="9" s="1"/>
  <c r="AG34" i="1"/>
  <c r="AG34" i="9" s="1"/>
  <c r="AF34" i="1"/>
  <c r="AF34" i="9" s="1"/>
  <c r="AE34" i="1"/>
  <c r="AE34" i="9" s="1"/>
  <c r="AD34" i="1"/>
  <c r="AD34" i="9" s="1"/>
  <c r="AC34" i="1"/>
  <c r="AC34" i="9" s="1"/>
  <c r="AB34" i="1"/>
  <c r="AB34" i="9" s="1"/>
  <c r="AA34" i="1"/>
  <c r="AA34" i="9" s="1"/>
  <c r="Z34" i="1"/>
  <c r="Z34" i="9" s="1"/>
  <c r="Y34" i="1"/>
  <c r="Y34" i="9" s="1"/>
  <c r="X34" i="1"/>
  <c r="X34" i="9" s="1"/>
  <c r="W34" i="1"/>
  <c r="W34" i="9" s="1"/>
  <c r="V34" i="1"/>
  <c r="V34" i="9" s="1"/>
  <c r="U34" i="1"/>
  <c r="U34" i="9" s="1"/>
  <c r="T34" i="1"/>
  <c r="T34" i="9" s="1"/>
  <c r="S34" i="1"/>
  <c r="S34" i="9" s="1"/>
  <c r="R34" i="1"/>
  <c r="R34" i="9" s="1"/>
  <c r="Q34" i="1"/>
  <c r="Q34" i="9" s="1"/>
  <c r="P34" i="1"/>
  <c r="P34" i="9" s="1"/>
  <c r="O34" i="1"/>
  <c r="O34" i="9" s="1"/>
  <c r="N34" i="1"/>
  <c r="N34" i="9" s="1"/>
  <c r="M34" i="1"/>
  <c r="M34" i="9" s="1"/>
  <c r="L34" i="1"/>
  <c r="L34" i="9" s="1"/>
  <c r="K34" i="1"/>
  <c r="K34" i="9" s="1"/>
  <c r="J34" i="1"/>
  <c r="J34" i="9" s="1"/>
  <c r="I34" i="1"/>
  <c r="I34" i="9" s="1"/>
  <c r="H34" i="1"/>
  <c r="H34" i="8" s="1"/>
  <c r="G34" i="1"/>
  <c r="G34" i="8" s="1"/>
  <c r="F34" i="1"/>
  <c r="F34" i="8" s="1"/>
  <c r="E34" i="1"/>
  <c r="E34" i="8" s="1"/>
  <c r="D34" i="1"/>
  <c r="D34" i="8" s="1"/>
  <c r="C34" i="1"/>
  <c r="C34" i="8" s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H32" i="1"/>
  <c r="AH32" i="9" s="1"/>
  <c r="AG84" i="3" s="1"/>
  <c r="AG32" i="1"/>
  <c r="AG32" i="9" s="1"/>
  <c r="AF84" i="3" s="1"/>
  <c r="AF32" i="1"/>
  <c r="AF32" i="9" s="1"/>
  <c r="AE84" i="3" s="1"/>
  <c r="AE32" i="1"/>
  <c r="AE32" i="9" s="1"/>
  <c r="AD84" i="3" s="1"/>
  <c r="AD32" i="1"/>
  <c r="AD32" i="9" s="1"/>
  <c r="AC84" i="3" s="1"/>
  <c r="AC32" i="1"/>
  <c r="AC32" i="9" s="1"/>
  <c r="AB84" i="3" s="1"/>
  <c r="AB32" i="1"/>
  <c r="AB32" i="9" s="1"/>
  <c r="AA84" i="3" s="1"/>
  <c r="AA32" i="1"/>
  <c r="AA32" i="9" s="1"/>
  <c r="Z84" i="3" s="1"/>
  <c r="Z32" i="1"/>
  <c r="Z32" i="9" s="1"/>
  <c r="Y84" i="3" s="1"/>
  <c r="Y32" i="1"/>
  <c r="Y32" i="9" s="1"/>
  <c r="X84" i="3" s="1"/>
  <c r="X32" i="1"/>
  <c r="X32" i="9" s="1"/>
  <c r="W84" i="3" s="1"/>
  <c r="W32" i="1"/>
  <c r="W32" i="9" s="1"/>
  <c r="V84" i="3" s="1"/>
  <c r="V32" i="1"/>
  <c r="V32" i="9" s="1"/>
  <c r="U84" i="3" s="1"/>
  <c r="U32" i="1"/>
  <c r="U32" i="9" s="1"/>
  <c r="T84" i="3" s="1"/>
  <c r="T32" i="1"/>
  <c r="T32" i="9" s="1"/>
  <c r="S84" i="3" s="1"/>
  <c r="S32" i="1"/>
  <c r="S32" i="9" s="1"/>
  <c r="R84" i="3" s="1"/>
  <c r="R32" i="1"/>
  <c r="R32" i="9" s="1"/>
  <c r="Q84" i="3" s="1"/>
  <c r="Q32" i="1"/>
  <c r="Q32" i="9" s="1"/>
  <c r="P84" i="3" s="1"/>
  <c r="P32" i="1"/>
  <c r="P32" i="9" s="1"/>
  <c r="O84" i="3" s="1"/>
  <c r="O32" i="1"/>
  <c r="O32" i="9" s="1"/>
  <c r="N84" i="3" s="1"/>
  <c r="N32" i="1"/>
  <c r="N32" i="9" s="1"/>
  <c r="M84" i="3" s="1"/>
  <c r="M32" i="1"/>
  <c r="M32" i="9" s="1"/>
  <c r="L84" i="3" s="1"/>
  <c r="L32" i="1"/>
  <c r="L32" i="9" s="1"/>
  <c r="K84" i="3" s="1"/>
  <c r="K32" i="1"/>
  <c r="K32" i="9" s="1"/>
  <c r="J84" i="3" s="1"/>
  <c r="J32" i="1"/>
  <c r="J32" i="9" s="1"/>
  <c r="I84" i="3" s="1"/>
  <c r="I32" i="1"/>
  <c r="I32" i="9" s="1"/>
  <c r="H84" i="3" s="1"/>
  <c r="H32" i="1"/>
  <c r="H32" i="8" s="1"/>
  <c r="G83" i="3" s="1"/>
  <c r="G32" i="1"/>
  <c r="G32" i="8" s="1"/>
  <c r="F83" i="3" s="1"/>
  <c r="F32" i="1"/>
  <c r="F32" i="8" s="1"/>
  <c r="E83" i="3" s="1"/>
  <c r="E32" i="1"/>
  <c r="E32" i="8" s="1"/>
  <c r="D83" i="3" s="1"/>
  <c r="D32" i="1"/>
  <c r="D32" i="8" s="1"/>
  <c r="C83" i="3" s="1"/>
  <c r="C32" i="1"/>
  <c r="C32" i="8" s="1"/>
  <c r="B83" i="3" s="1"/>
  <c r="AH31" i="1"/>
  <c r="AH31" i="9" s="1"/>
  <c r="AG31" i="1"/>
  <c r="AG31" i="9" s="1"/>
  <c r="AF31" i="1"/>
  <c r="AF31" i="9" s="1"/>
  <c r="AE31" i="1"/>
  <c r="AE31" i="9" s="1"/>
  <c r="AD31" i="1"/>
  <c r="AD31" i="9" s="1"/>
  <c r="AC31" i="1"/>
  <c r="AC31" i="9" s="1"/>
  <c r="AB31" i="1"/>
  <c r="AB31" i="9" s="1"/>
  <c r="AA31" i="1"/>
  <c r="AA31" i="9" s="1"/>
  <c r="Z31" i="1"/>
  <c r="Z31" i="9" s="1"/>
  <c r="Y31" i="1"/>
  <c r="Y31" i="9" s="1"/>
  <c r="X31" i="1"/>
  <c r="X31" i="9" s="1"/>
  <c r="W31" i="1"/>
  <c r="W31" i="9" s="1"/>
  <c r="V31" i="1"/>
  <c r="V31" i="9" s="1"/>
  <c r="U31" i="1"/>
  <c r="U31" i="9" s="1"/>
  <c r="T31" i="1"/>
  <c r="T31" i="9" s="1"/>
  <c r="S31" i="1"/>
  <c r="S31" i="9" s="1"/>
  <c r="R31" i="1"/>
  <c r="R31" i="9" s="1"/>
  <c r="Q31" i="1"/>
  <c r="Q31" i="9" s="1"/>
  <c r="P31" i="1"/>
  <c r="P31" i="9" s="1"/>
  <c r="O31" i="1"/>
  <c r="O31" i="9" s="1"/>
  <c r="N31" i="1"/>
  <c r="N31" i="9" s="1"/>
  <c r="M31" i="1"/>
  <c r="M31" i="9" s="1"/>
  <c r="L31" i="1"/>
  <c r="L31" i="9" s="1"/>
  <c r="K31" i="1"/>
  <c r="K31" i="9" s="1"/>
  <c r="J31" i="1"/>
  <c r="J31" i="9" s="1"/>
  <c r="I31" i="1"/>
  <c r="I31" i="9" s="1"/>
  <c r="H31" i="1"/>
  <c r="H31" i="8" s="1"/>
  <c r="G31" i="1"/>
  <c r="G31" i="8" s="1"/>
  <c r="F31" i="1"/>
  <c r="F31" i="8" s="1"/>
  <c r="E31" i="1"/>
  <c r="E31" i="8" s="1"/>
  <c r="D31" i="1"/>
  <c r="D31" i="8" s="1"/>
  <c r="C31" i="1"/>
  <c r="C31" i="8" s="1"/>
  <c r="AH30" i="1"/>
  <c r="AH30" i="9" s="1"/>
  <c r="AG30" i="1"/>
  <c r="AG30" i="9" s="1"/>
  <c r="AF30" i="1"/>
  <c r="AF30" i="9" s="1"/>
  <c r="AE30" i="1"/>
  <c r="AE30" i="9" s="1"/>
  <c r="AD30" i="1"/>
  <c r="AD30" i="9" s="1"/>
  <c r="AC30" i="1"/>
  <c r="AC30" i="9" s="1"/>
  <c r="AB30" i="1"/>
  <c r="AB30" i="9" s="1"/>
  <c r="AA30" i="1"/>
  <c r="AA30" i="9" s="1"/>
  <c r="Z30" i="1"/>
  <c r="Z30" i="9" s="1"/>
  <c r="Y30" i="1"/>
  <c r="Y30" i="9" s="1"/>
  <c r="X30" i="1"/>
  <c r="X30" i="9" s="1"/>
  <c r="W30" i="1"/>
  <c r="W30" i="9" s="1"/>
  <c r="V30" i="1"/>
  <c r="V30" i="9" s="1"/>
  <c r="U30" i="1"/>
  <c r="U30" i="9" s="1"/>
  <c r="T30" i="1"/>
  <c r="T30" i="9" s="1"/>
  <c r="S30" i="1"/>
  <c r="S30" i="9" s="1"/>
  <c r="R30" i="1"/>
  <c r="R30" i="9" s="1"/>
  <c r="Q30" i="1"/>
  <c r="Q30" i="9" s="1"/>
  <c r="P30" i="1"/>
  <c r="P30" i="9" s="1"/>
  <c r="O30" i="1"/>
  <c r="O30" i="9" s="1"/>
  <c r="N30" i="1"/>
  <c r="N30" i="9" s="1"/>
  <c r="M30" i="1"/>
  <c r="M30" i="9" s="1"/>
  <c r="L30" i="1"/>
  <c r="L30" i="9" s="1"/>
  <c r="K30" i="1"/>
  <c r="K30" i="9" s="1"/>
  <c r="J30" i="1"/>
  <c r="J30" i="9" s="1"/>
  <c r="I30" i="1"/>
  <c r="I30" i="9" s="1"/>
  <c r="H30" i="1"/>
  <c r="H30" i="8" s="1"/>
  <c r="G30" i="1"/>
  <c r="G30" i="8" s="1"/>
  <c r="F30" i="1"/>
  <c r="F30" i="8" s="1"/>
  <c r="E30" i="1"/>
  <c r="E30" i="8" s="1"/>
  <c r="D30" i="1"/>
  <c r="D30" i="8" s="1"/>
  <c r="C30" i="1"/>
  <c r="C30" i="8" s="1"/>
  <c r="AH29" i="1"/>
  <c r="AH29" i="9" s="1"/>
  <c r="AG29" i="1"/>
  <c r="AG29" i="9" s="1"/>
  <c r="AF29" i="1"/>
  <c r="AF29" i="9" s="1"/>
  <c r="AE29" i="1"/>
  <c r="AE29" i="9" s="1"/>
  <c r="AD29" i="1"/>
  <c r="AD29" i="9" s="1"/>
  <c r="AC29" i="1"/>
  <c r="AC29" i="9" s="1"/>
  <c r="AB29" i="1"/>
  <c r="AB29" i="9" s="1"/>
  <c r="AA29" i="1"/>
  <c r="AA29" i="9" s="1"/>
  <c r="Z29" i="1"/>
  <c r="Z29" i="9" s="1"/>
  <c r="Y29" i="1"/>
  <c r="Y29" i="9" s="1"/>
  <c r="X29" i="1"/>
  <c r="X29" i="9" s="1"/>
  <c r="W29" i="1"/>
  <c r="W29" i="9" s="1"/>
  <c r="V29" i="1"/>
  <c r="V29" i="9" s="1"/>
  <c r="U29" i="1"/>
  <c r="U29" i="9" s="1"/>
  <c r="T29" i="1"/>
  <c r="T29" i="9" s="1"/>
  <c r="S29" i="1"/>
  <c r="S29" i="9" s="1"/>
  <c r="R29" i="1"/>
  <c r="R29" i="9" s="1"/>
  <c r="Q29" i="1"/>
  <c r="Q29" i="9" s="1"/>
  <c r="P29" i="1"/>
  <c r="P29" i="9" s="1"/>
  <c r="O29" i="1"/>
  <c r="O29" i="9" s="1"/>
  <c r="N29" i="1"/>
  <c r="N29" i="9" s="1"/>
  <c r="M29" i="1"/>
  <c r="M29" i="9" s="1"/>
  <c r="L29" i="1"/>
  <c r="L29" i="9" s="1"/>
  <c r="K29" i="1"/>
  <c r="K29" i="9" s="1"/>
  <c r="J29" i="1"/>
  <c r="J29" i="9" s="1"/>
  <c r="I29" i="1"/>
  <c r="I29" i="9" s="1"/>
  <c r="H29" i="1"/>
  <c r="H29" i="8" s="1"/>
  <c r="G29" i="1"/>
  <c r="G29" i="8" s="1"/>
  <c r="F29" i="1"/>
  <c r="F29" i="8" s="1"/>
  <c r="E29" i="1"/>
  <c r="E29" i="8" s="1"/>
  <c r="D29" i="1"/>
  <c r="D29" i="8" s="1"/>
  <c r="C29" i="1"/>
  <c r="C29" i="8" s="1"/>
  <c r="AH28" i="1"/>
  <c r="AH28" i="9" s="1"/>
  <c r="AG28" i="1"/>
  <c r="AG28" i="9" s="1"/>
  <c r="AF28" i="1"/>
  <c r="AF28" i="9" s="1"/>
  <c r="AE28" i="1"/>
  <c r="AE28" i="9" s="1"/>
  <c r="AD28" i="1"/>
  <c r="AD28" i="9" s="1"/>
  <c r="AC28" i="1"/>
  <c r="AC28" i="9" s="1"/>
  <c r="AB28" i="1"/>
  <c r="AB28" i="9" s="1"/>
  <c r="AA28" i="1"/>
  <c r="AA28" i="9" s="1"/>
  <c r="Z28" i="1"/>
  <c r="Z28" i="9" s="1"/>
  <c r="Y28" i="1"/>
  <c r="Y28" i="9" s="1"/>
  <c r="X28" i="1"/>
  <c r="X28" i="9" s="1"/>
  <c r="W28" i="1"/>
  <c r="W28" i="9" s="1"/>
  <c r="V28" i="1"/>
  <c r="V28" i="9" s="1"/>
  <c r="U28" i="1"/>
  <c r="U28" i="9" s="1"/>
  <c r="T28" i="1"/>
  <c r="T28" i="9" s="1"/>
  <c r="S28" i="1"/>
  <c r="S28" i="9" s="1"/>
  <c r="R28" i="1"/>
  <c r="R28" i="9" s="1"/>
  <c r="Q28" i="1"/>
  <c r="Q28" i="9" s="1"/>
  <c r="P28" i="1"/>
  <c r="P28" i="9" s="1"/>
  <c r="O28" i="1"/>
  <c r="O28" i="9" s="1"/>
  <c r="N28" i="1"/>
  <c r="N28" i="9" s="1"/>
  <c r="M28" i="1"/>
  <c r="M28" i="9" s="1"/>
  <c r="L28" i="1"/>
  <c r="L28" i="9" s="1"/>
  <c r="K28" i="1"/>
  <c r="K28" i="9" s="1"/>
  <c r="J28" i="1"/>
  <c r="J28" i="9" s="1"/>
  <c r="I28" i="1"/>
  <c r="I28" i="9" s="1"/>
  <c r="H28" i="1"/>
  <c r="H28" i="8" s="1"/>
  <c r="G28" i="1"/>
  <c r="G28" i="8" s="1"/>
  <c r="F28" i="1"/>
  <c r="F28" i="8" s="1"/>
  <c r="E28" i="1"/>
  <c r="E28" i="8" s="1"/>
  <c r="D28" i="1"/>
  <c r="D28" i="8" s="1"/>
  <c r="C28" i="1"/>
  <c r="C28" i="8" s="1"/>
  <c r="AH27" i="1"/>
  <c r="AH27" i="9" s="1"/>
  <c r="AG27" i="1"/>
  <c r="AG27" i="9" s="1"/>
  <c r="AF27" i="1"/>
  <c r="AF27" i="9" s="1"/>
  <c r="AE27" i="1"/>
  <c r="AE27" i="9" s="1"/>
  <c r="AD27" i="1"/>
  <c r="AD27" i="9" s="1"/>
  <c r="AC27" i="1"/>
  <c r="AC27" i="9" s="1"/>
  <c r="AB27" i="1"/>
  <c r="AB27" i="9" s="1"/>
  <c r="AA27" i="1"/>
  <c r="AA27" i="9" s="1"/>
  <c r="Z27" i="1"/>
  <c r="Z27" i="9" s="1"/>
  <c r="Y27" i="1"/>
  <c r="Y27" i="9" s="1"/>
  <c r="X27" i="1"/>
  <c r="X27" i="9" s="1"/>
  <c r="W27" i="1"/>
  <c r="W27" i="9" s="1"/>
  <c r="V27" i="1"/>
  <c r="V27" i="9" s="1"/>
  <c r="U27" i="1"/>
  <c r="U27" i="9" s="1"/>
  <c r="T27" i="1"/>
  <c r="T27" i="9" s="1"/>
  <c r="S27" i="1"/>
  <c r="S27" i="9" s="1"/>
  <c r="R27" i="1"/>
  <c r="R27" i="9" s="1"/>
  <c r="Q27" i="1"/>
  <c r="Q27" i="9" s="1"/>
  <c r="P27" i="1"/>
  <c r="P27" i="9" s="1"/>
  <c r="O27" i="1"/>
  <c r="O27" i="9" s="1"/>
  <c r="N27" i="1"/>
  <c r="N27" i="9" s="1"/>
  <c r="M27" i="1"/>
  <c r="M27" i="9" s="1"/>
  <c r="L27" i="1"/>
  <c r="L27" i="9" s="1"/>
  <c r="K27" i="1"/>
  <c r="K27" i="9" s="1"/>
  <c r="J27" i="1"/>
  <c r="J27" i="9" s="1"/>
  <c r="I27" i="1"/>
  <c r="I27" i="9" s="1"/>
  <c r="H27" i="1"/>
  <c r="H27" i="8" s="1"/>
  <c r="G27" i="1"/>
  <c r="G27" i="8" s="1"/>
  <c r="F27" i="1"/>
  <c r="F27" i="8" s="1"/>
  <c r="E27" i="1"/>
  <c r="E27" i="8" s="1"/>
  <c r="D27" i="1"/>
  <c r="D27" i="8" s="1"/>
  <c r="C27" i="1"/>
  <c r="C27" i="8" s="1"/>
  <c r="AH26" i="1"/>
  <c r="AH26" i="9" s="1"/>
  <c r="AG26" i="1"/>
  <c r="AG26" i="9" s="1"/>
  <c r="AF26" i="1"/>
  <c r="AF26" i="9" s="1"/>
  <c r="AE26" i="1"/>
  <c r="AE26" i="9" s="1"/>
  <c r="AD26" i="1"/>
  <c r="AD26" i="9" s="1"/>
  <c r="AC26" i="1"/>
  <c r="AC26" i="9" s="1"/>
  <c r="AB26" i="1"/>
  <c r="AB26" i="9" s="1"/>
  <c r="AA26" i="1"/>
  <c r="AA26" i="9" s="1"/>
  <c r="Z26" i="1"/>
  <c r="Z26" i="9" s="1"/>
  <c r="Y26" i="1"/>
  <c r="Y26" i="9" s="1"/>
  <c r="X26" i="1"/>
  <c r="X26" i="9" s="1"/>
  <c r="W26" i="1"/>
  <c r="W26" i="9" s="1"/>
  <c r="V26" i="1"/>
  <c r="V26" i="9" s="1"/>
  <c r="U26" i="1"/>
  <c r="U26" i="9" s="1"/>
  <c r="T26" i="1"/>
  <c r="T26" i="9" s="1"/>
  <c r="S26" i="1"/>
  <c r="S26" i="9" s="1"/>
  <c r="R26" i="1"/>
  <c r="R26" i="9" s="1"/>
  <c r="Q26" i="1"/>
  <c r="Q26" i="9" s="1"/>
  <c r="P26" i="1"/>
  <c r="P26" i="9" s="1"/>
  <c r="O26" i="1"/>
  <c r="O26" i="9" s="1"/>
  <c r="N26" i="1"/>
  <c r="N26" i="9" s="1"/>
  <c r="M26" i="1"/>
  <c r="M26" i="9" s="1"/>
  <c r="L26" i="1"/>
  <c r="L26" i="9" s="1"/>
  <c r="K26" i="1"/>
  <c r="K26" i="9" s="1"/>
  <c r="J26" i="1"/>
  <c r="J26" i="9" s="1"/>
  <c r="I26" i="1"/>
  <c r="I26" i="9" s="1"/>
  <c r="H26" i="1"/>
  <c r="H26" i="8" s="1"/>
  <c r="G26" i="1"/>
  <c r="G26" i="8" s="1"/>
  <c r="F26" i="1"/>
  <c r="F26" i="8" s="1"/>
  <c r="E26" i="1"/>
  <c r="E26" i="8" s="1"/>
  <c r="D26" i="1"/>
  <c r="D26" i="8" s="1"/>
  <c r="C26" i="1"/>
  <c r="C26" i="8" s="1"/>
  <c r="AH25" i="1"/>
  <c r="AH25" i="9" s="1"/>
  <c r="AG25" i="1"/>
  <c r="AG25" i="9" s="1"/>
  <c r="AF25" i="1"/>
  <c r="AF25" i="9" s="1"/>
  <c r="AE25" i="1"/>
  <c r="AE25" i="9" s="1"/>
  <c r="AD25" i="1"/>
  <c r="AD25" i="9" s="1"/>
  <c r="AC25" i="1"/>
  <c r="AC25" i="9" s="1"/>
  <c r="AB25" i="1"/>
  <c r="AB25" i="9" s="1"/>
  <c r="AA25" i="1"/>
  <c r="AA25" i="9" s="1"/>
  <c r="Z25" i="1"/>
  <c r="Z25" i="9" s="1"/>
  <c r="Y25" i="1"/>
  <c r="Y25" i="9" s="1"/>
  <c r="X25" i="1"/>
  <c r="X25" i="9" s="1"/>
  <c r="W25" i="1"/>
  <c r="W25" i="9" s="1"/>
  <c r="V25" i="1"/>
  <c r="V25" i="9" s="1"/>
  <c r="U25" i="1"/>
  <c r="U25" i="9" s="1"/>
  <c r="T25" i="1"/>
  <c r="T25" i="9" s="1"/>
  <c r="S25" i="1"/>
  <c r="S25" i="9" s="1"/>
  <c r="R25" i="1"/>
  <c r="R25" i="9" s="1"/>
  <c r="Q25" i="1"/>
  <c r="Q25" i="9" s="1"/>
  <c r="P25" i="1"/>
  <c r="P25" i="9" s="1"/>
  <c r="O25" i="1"/>
  <c r="O25" i="9" s="1"/>
  <c r="N25" i="1"/>
  <c r="N25" i="9" s="1"/>
  <c r="M25" i="1"/>
  <c r="M25" i="9" s="1"/>
  <c r="L25" i="1"/>
  <c r="L25" i="9" s="1"/>
  <c r="K25" i="1"/>
  <c r="K25" i="9" s="1"/>
  <c r="J25" i="1"/>
  <c r="J25" i="9" s="1"/>
  <c r="I25" i="1"/>
  <c r="I25" i="9" s="1"/>
  <c r="H25" i="1"/>
  <c r="H25" i="8" s="1"/>
  <c r="G25" i="1"/>
  <c r="G25" i="8" s="1"/>
  <c r="F25" i="1"/>
  <c r="F25" i="8" s="1"/>
  <c r="E25" i="1"/>
  <c r="E25" i="8" s="1"/>
  <c r="D25" i="1"/>
  <c r="D25" i="8" s="1"/>
  <c r="C25" i="1"/>
  <c r="C25" i="8" s="1"/>
  <c r="AH24" i="1"/>
  <c r="AH24" i="9" s="1"/>
  <c r="AG24" i="1"/>
  <c r="AG24" i="9" s="1"/>
  <c r="AF24" i="1"/>
  <c r="AF24" i="9" s="1"/>
  <c r="AE24" i="1"/>
  <c r="AE24" i="9" s="1"/>
  <c r="AD24" i="1"/>
  <c r="AD24" i="9" s="1"/>
  <c r="AC24" i="1"/>
  <c r="AC24" i="9" s="1"/>
  <c r="AB24" i="1"/>
  <c r="AB24" i="9" s="1"/>
  <c r="AA24" i="1"/>
  <c r="AA24" i="9" s="1"/>
  <c r="Z24" i="1"/>
  <c r="Z24" i="9" s="1"/>
  <c r="Y24" i="1"/>
  <c r="Y24" i="9" s="1"/>
  <c r="X24" i="1"/>
  <c r="X24" i="9" s="1"/>
  <c r="W24" i="1"/>
  <c r="W24" i="9" s="1"/>
  <c r="V24" i="1"/>
  <c r="V24" i="9" s="1"/>
  <c r="U24" i="1"/>
  <c r="U24" i="9" s="1"/>
  <c r="T24" i="1"/>
  <c r="T24" i="9" s="1"/>
  <c r="S24" i="1"/>
  <c r="S24" i="9" s="1"/>
  <c r="R24" i="1"/>
  <c r="R24" i="9" s="1"/>
  <c r="Q24" i="1"/>
  <c r="Q24" i="9" s="1"/>
  <c r="P24" i="1"/>
  <c r="P24" i="9" s="1"/>
  <c r="O24" i="1"/>
  <c r="O24" i="9" s="1"/>
  <c r="N24" i="1"/>
  <c r="N24" i="9" s="1"/>
  <c r="M24" i="1"/>
  <c r="M24" i="9" s="1"/>
  <c r="L24" i="1"/>
  <c r="L24" i="9" s="1"/>
  <c r="K24" i="1"/>
  <c r="K24" i="9" s="1"/>
  <c r="J24" i="1"/>
  <c r="J24" i="9" s="1"/>
  <c r="I24" i="1"/>
  <c r="I24" i="9" s="1"/>
  <c r="H24" i="1"/>
  <c r="H24" i="8" s="1"/>
  <c r="G24" i="1"/>
  <c r="G24" i="8" s="1"/>
  <c r="F24" i="1"/>
  <c r="F24" i="8" s="1"/>
  <c r="E24" i="1"/>
  <c r="E24" i="8" s="1"/>
  <c r="D24" i="1"/>
  <c r="D24" i="8" s="1"/>
  <c r="C24" i="1"/>
  <c r="C24" i="8" s="1"/>
  <c r="AH23" i="1"/>
  <c r="AH23" i="9" s="1"/>
  <c r="AG23" i="1"/>
  <c r="AG23" i="9" s="1"/>
  <c r="AF23" i="1"/>
  <c r="AF23" i="9" s="1"/>
  <c r="AE23" i="1"/>
  <c r="AE23" i="9" s="1"/>
  <c r="AD23" i="1"/>
  <c r="AD23" i="9" s="1"/>
  <c r="AC23" i="1"/>
  <c r="AC23" i="9" s="1"/>
  <c r="AB23" i="1"/>
  <c r="AB23" i="9" s="1"/>
  <c r="AA23" i="1"/>
  <c r="AA23" i="9" s="1"/>
  <c r="Z23" i="1"/>
  <c r="Z23" i="9" s="1"/>
  <c r="Y23" i="1"/>
  <c r="Y23" i="9" s="1"/>
  <c r="X23" i="1"/>
  <c r="X23" i="9" s="1"/>
  <c r="W23" i="1"/>
  <c r="W23" i="9" s="1"/>
  <c r="V23" i="1"/>
  <c r="V23" i="9" s="1"/>
  <c r="U23" i="1"/>
  <c r="U23" i="9" s="1"/>
  <c r="T23" i="1"/>
  <c r="T23" i="9" s="1"/>
  <c r="S23" i="1"/>
  <c r="S23" i="9" s="1"/>
  <c r="R23" i="1"/>
  <c r="R23" i="9" s="1"/>
  <c r="Q23" i="1"/>
  <c r="Q23" i="9" s="1"/>
  <c r="P23" i="1"/>
  <c r="P23" i="9" s="1"/>
  <c r="O23" i="1"/>
  <c r="O23" i="9" s="1"/>
  <c r="N23" i="1"/>
  <c r="N23" i="9" s="1"/>
  <c r="M23" i="1"/>
  <c r="M23" i="9" s="1"/>
  <c r="L23" i="1"/>
  <c r="L23" i="9" s="1"/>
  <c r="K23" i="1"/>
  <c r="K23" i="9" s="1"/>
  <c r="J23" i="1"/>
  <c r="J23" i="9" s="1"/>
  <c r="I23" i="1"/>
  <c r="I23" i="9" s="1"/>
  <c r="H23" i="1"/>
  <c r="H23" i="8" s="1"/>
  <c r="G23" i="1"/>
  <c r="G23" i="8" s="1"/>
  <c r="F23" i="1"/>
  <c r="F23" i="8" s="1"/>
  <c r="E23" i="1"/>
  <c r="E23" i="8" s="1"/>
  <c r="D23" i="1"/>
  <c r="D23" i="8" s="1"/>
  <c r="C23" i="1"/>
  <c r="C23" i="8" s="1"/>
  <c r="AH22" i="1"/>
  <c r="AH22" i="9" s="1"/>
  <c r="AG42" i="3" s="1"/>
  <c r="AG63" i="3" s="1"/>
  <c r="AG22" i="1"/>
  <c r="AG22" i="9" s="1"/>
  <c r="AF42" i="3" s="1"/>
  <c r="AF63" i="3" s="1"/>
  <c r="AF22" i="1"/>
  <c r="AF22" i="9" s="1"/>
  <c r="AE42" i="3" s="1"/>
  <c r="AE63" i="3" s="1"/>
  <c r="AE22" i="1"/>
  <c r="AE22" i="9" s="1"/>
  <c r="AD42" i="3" s="1"/>
  <c r="AD63" i="3" s="1"/>
  <c r="AD22" i="1"/>
  <c r="AD22" i="9" s="1"/>
  <c r="AC42" i="3" s="1"/>
  <c r="AC63" i="3" s="1"/>
  <c r="AC22" i="1"/>
  <c r="AC22" i="9" s="1"/>
  <c r="AB42" i="3" s="1"/>
  <c r="AB63" i="3" s="1"/>
  <c r="AB22" i="1"/>
  <c r="AB22" i="9" s="1"/>
  <c r="AA42" i="3" s="1"/>
  <c r="AA63" i="3" s="1"/>
  <c r="AA22" i="1"/>
  <c r="AA22" i="9" s="1"/>
  <c r="Z42" i="3" s="1"/>
  <c r="Z63" i="3" s="1"/>
  <c r="Z22" i="1"/>
  <c r="Z22" i="9" s="1"/>
  <c r="Y42" i="3" s="1"/>
  <c r="Y63" i="3" s="1"/>
  <c r="Y22" i="1"/>
  <c r="Y22" i="9" s="1"/>
  <c r="X42" i="3" s="1"/>
  <c r="X63" i="3" s="1"/>
  <c r="X22" i="1"/>
  <c r="X22" i="9" s="1"/>
  <c r="W42" i="3" s="1"/>
  <c r="W63" i="3" s="1"/>
  <c r="W22" i="1"/>
  <c r="W22" i="9" s="1"/>
  <c r="V42" i="3" s="1"/>
  <c r="V63" i="3" s="1"/>
  <c r="V22" i="1"/>
  <c r="V22" i="9" s="1"/>
  <c r="U42" i="3" s="1"/>
  <c r="U63" i="3" s="1"/>
  <c r="U22" i="1"/>
  <c r="U22" i="9" s="1"/>
  <c r="T42" i="3" s="1"/>
  <c r="T63" i="3" s="1"/>
  <c r="T22" i="1"/>
  <c r="T22" i="9" s="1"/>
  <c r="S42" i="3" s="1"/>
  <c r="S63" i="3" s="1"/>
  <c r="S22" i="1"/>
  <c r="S22" i="9" s="1"/>
  <c r="R42" i="3" s="1"/>
  <c r="R63" i="3" s="1"/>
  <c r="R22" i="1"/>
  <c r="R22" i="9" s="1"/>
  <c r="Q42" i="3" s="1"/>
  <c r="Q63" i="3" s="1"/>
  <c r="Q22" i="1"/>
  <c r="Q22" i="9" s="1"/>
  <c r="P42" i="3" s="1"/>
  <c r="P63" i="3" s="1"/>
  <c r="P22" i="1"/>
  <c r="P22" i="9" s="1"/>
  <c r="O42" i="3" s="1"/>
  <c r="O22" i="1"/>
  <c r="O22" i="9" s="1"/>
  <c r="N42" i="3" s="1"/>
  <c r="N63" i="3" s="1"/>
  <c r="N22" i="1"/>
  <c r="N22" i="9" s="1"/>
  <c r="M42" i="3" s="1"/>
  <c r="M63" i="3" s="1"/>
  <c r="M22" i="1"/>
  <c r="M22" i="9" s="1"/>
  <c r="L42" i="3" s="1"/>
  <c r="L63" i="3" s="1"/>
  <c r="L22" i="1"/>
  <c r="L22" i="9" s="1"/>
  <c r="K42" i="3" s="1"/>
  <c r="K63" i="3" s="1"/>
  <c r="K22" i="1"/>
  <c r="K22" i="9" s="1"/>
  <c r="J42" i="3" s="1"/>
  <c r="J63" i="3" s="1"/>
  <c r="J22" i="1"/>
  <c r="J22" i="9" s="1"/>
  <c r="I42" i="3" s="1"/>
  <c r="I63" i="3" s="1"/>
  <c r="I22" i="1"/>
  <c r="I22" i="9" s="1"/>
  <c r="H42" i="3" s="1"/>
  <c r="H63" i="3" s="1"/>
  <c r="H22" i="1"/>
  <c r="H22" i="8" s="1"/>
  <c r="G41" i="3" s="1"/>
  <c r="G61" i="3" s="1"/>
  <c r="G22" i="1"/>
  <c r="G22" i="8" s="1"/>
  <c r="F41" i="3" s="1"/>
  <c r="F61" i="3" s="1"/>
  <c r="F22" i="1"/>
  <c r="F22" i="8" s="1"/>
  <c r="E41" i="3" s="1"/>
  <c r="E61" i="3" s="1"/>
  <c r="E22" i="1"/>
  <c r="E22" i="8" s="1"/>
  <c r="D41" i="3" s="1"/>
  <c r="D61" i="3" s="1"/>
  <c r="D22" i="1"/>
  <c r="D22" i="8" s="1"/>
  <c r="C41" i="3" s="1"/>
  <c r="C61" i="3" s="1"/>
  <c r="C22" i="1"/>
  <c r="C22" i="8" s="1"/>
  <c r="B41" i="3" s="1"/>
  <c r="AH21" i="1"/>
  <c r="AH21" i="9" s="1"/>
  <c r="AG21" i="4" s="1"/>
  <c r="AG21" i="1"/>
  <c r="AG21" i="9" s="1"/>
  <c r="AF21" i="4" s="1"/>
  <c r="AF21" i="1"/>
  <c r="AF21" i="9" s="1"/>
  <c r="AE21" i="4" s="1"/>
  <c r="AE21" i="1"/>
  <c r="AE21" i="9" s="1"/>
  <c r="AD21" i="4" s="1"/>
  <c r="AD21" i="1"/>
  <c r="AD21" i="9" s="1"/>
  <c r="AC21" i="4" s="1"/>
  <c r="AC21" i="1"/>
  <c r="AC21" i="9" s="1"/>
  <c r="AB21" i="4" s="1"/>
  <c r="AB21" i="1"/>
  <c r="AB21" i="9" s="1"/>
  <c r="AA21" i="4" s="1"/>
  <c r="AA21" i="1"/>
  <c r="AA21" i="9" s="1"/>
  <c r="Z21" i="4" s="1"/>
  <c r="Z21" i="1"/>
  <c r="Z21" i="9" s="1"/>
  <c r="Y21" i="4" s="1"/>
  <c r="Y21" i="1"/>
  <c r="Y21" i="9" s="1"/>
  <c r="X21" i="4" s="1"/>
  <c r="X21" i="1"/>
  <c r="X21" i="9" s="1"/>
  <c r="W21" i="4" s="1"/>
  <c r="W21" i="1"/>
  <c r="W21" i="9" s="1"/>
  <c r="V21" i="4" s="1"/>
  <c r="V21" i="1"/>
  <c r="V21" i="9" s="1"/>
  <c r="U21" i="4" s="1"/>
  <c r="U21" i="1"/>
  <c r="U21" i="9" s="1"/>
  <c r="T21" i="4" s="1"/>
  <c r="T21" i="1"/>
  <c r="T21" i="9" s="1"/>
  <c r="S21" i="4" s="1"/>
  <c r="S21" i="1"/>
  <c r="S21" i="9" s="1"/>
  <c r="R21" i="4" s="1"/>
  <c r="R21" i="1"/>
  <c r="R21" i="9" s="1"/>
  <c r="Q21" i="4" s="1"/>
  <c r="Q21" i="1"/>
  <c r="Q21" i="9" s="1"/>
  <c r="P21" i="4" s="1"/>
  <c r="P21" i="1"/>
  <c r="P21" i="9" s="1"/>
  <c r="O21" i="4" s="1"/>
  <c r="O21" i="1"/>
  <c r="O21" i="9" s="1"/>
  <c r="N21" i="4" s="1"/>
  <c r="N21" i="1"/>
  <c r="N21" i="9" s="1"/>
  <c r="M21" i="4" s="1"/>
  <c r="M21" i="1"/>
  <c r="M21" i="9" s="1"/>
  <c r="L21" i="4" s="1"/>
  <c r="L21" i="1"/>
  <c r="L21" i="9" s="1"/>
  <c r="K21" i="4" s="1"/>
  <c r="K21" i="1"/>
  <c r="K21" i="9" s="1"/>
  <c r="J21" i="4" s="1"/>
  <c r="J21" i="1"/>
  <c r="J21" i="9" s="1"/>
  <c r="I21" i="4" s="1"/>
  <c r="I21" i="1"/>
  <c r="I21" i="9" s="1"/>
  <c r="H21" i="4" s="1"/>
  <c r="H21" i="1"/>
  <c r="H21" i="8" s="1"/>
  <c r="G18" i="4" s="1"/>
  <c r="G21" i="1"/>
  <c r="G21" i="8" s="1"/>
  <c r="F18" i="4" s="1"/>
  <c r="F21" i="1"/>
  <c r="F21" i="8" s="1"/>
  <c r="E18" i="4" s="1"/>
  <c r="E21" i="1"/>
  <c r="E21" i="8" s="1"/>
  <c r="D18" i="4" s="1"/>
  <c r="D21" i="1"/>
  <c r="D21" i="8" s="1"/>
  <c r="C18" i="4" s="1"/>
  <c r="C21" i="1"/>
  <c r="C21" i="8" s="1"/>
  <c r="B18" i="4" s="1"/>
  <c r="AH20" i="1"/>
  <c r="AH20" i="9" s="1"/>
  <c r="AG22" i="3" s="1"/>
  <c r="AG20" i="1"/>
  <c r="AG20" i="9" s="1"/>
  <c r="AF22" i="3" s="1"/>
  <c r="AF20" i="1"/>
  <c r="AF20" i="9" s="1"/>
  <c r="AE22" i="3" s="1"/>
  <c r="AE20" i="1"/>
  <c r="AE20" i="9" s="1"/>
  <c r="AD22" i="3" s="1"/>
  <c r="AD20" i="1"/>
  <c r="AD20" i="9" s="1"/>
  <c r="AC22" i="3" s="1"/>
  <c r="AC20" i="1"/>
  <c r="AC20" i="9" s="1"/>
  <c r="AB22" i="3" s="1"/>
  <c r="AB20" i="1"/>
  <c r="AB20" i="9" s="1"/>
  <c r="AA22" i="3" s="1"/>
  <c r="AA20" i="1"/>
  <c r="AA20" i="9" s="1"/>
  <c r="Z22" i="3" s="1"/>
  <c r="Z20" i="1"/>
  <c r="Z20" i="9" s="1"/>
  <c r="Y22" i="3" s="1"/>
  <c r="Y20" i="1"/>
  <c r="Y20" i="9" s="1"/>
  <c r="X22" i="3" s="1"/>
  <c r="X20" i="1"/>
  <c r="X20" i="9" s="1"/>
  <c r="W22" i="3" s="1"/>
  <c r="W20" i="1"/>
  <c r="W20" i="9" s="1"/>
  <c r="V22" i="3" s="1"/>
  <c r="V20" i="1"/>
  <c r="V20" i="9" s="1"/>
  <c r="U22" i="3" s="1"/>
  <c r="U20" i="1"/>
  <c r="U20" i="9" s="1"/>
  <c r="T22" i="3" s="1"/>
  <c r="T20" i="1"/>
  <c r="T20" i="9" s="1"/>
  <c r="S22" i="3" s="1"/>
  <c r="S20" i="1"/>
  <c r="S20" i="9" s="1"/>
  <c r="R22" i="3" s="1"/>
  <c r="R20" i="1"/>
  <c r="R20" i="9" s="1"/>
  <c r="Q22" i="3" s="1"/>
  <c r="Q20" i="1"/>
  <c r="Q20" i="9" s="1"/>
  <c r="P22" i="3" s="1"/>
  <c r="P20" i="1"/>
  <c r="P20" i="9" s="1"/>
  <c r="O22" i="3" s="1"/>
  <c r="O20" i="1"/>
  <c r="O20" i="9" s="1"/>
  <c r="N22" i="3" s="1"/>
  <c r="N20" i="1"/>
  <c r="N20" i="9" s="1"/>
  <c r="M22" i="3" s="1"/>
  <c r="M20" i="1"/>
  <c r="M20" i="9" s="1"/>
  <c r="L22" i="3" s="1"/>
  <c r="L20" i="1"/>
  <c r="L20" i="9" s="1"/>
  <c r="K22" i="3" s="1"/>
  <c r="K20" i="1"/>
  <c r="K20" i="9" s="1"/>
  <c r="J22" i="3" s="1"/>
  <c r="J20" i="1"/>
  <c r="J20" i="9" s="1"/>
  <c r="I22" i="3" s="1"/>
  <c r="I20" i="1"/>
  <c r="I20" i="9" s="1"/>
  <c r="H22" i="3" s="1"/>
  <c r="H20" i="1"/>
  <c r="H20" i="8" s="1"/>
  <c r="G19" i="3" s="1"/>
  <c r="G20" i="1"/>
  <c r="G20" i="8" s="1"/>
  <c r="F19" i="3" s="1"/>
  <c r="F20" i="1"/>
  <c r="F20" i="8" s="1"/>
  <c r="E19" i="3" s="1"/>
  <c r="E20" i="1"/>
  <c r="E20" i="8" s="1"/>
  <c r="D19" i="3" s="1"/>
  <c r="D20" i="1"/>
  <c r="D20" i="8" s="1"/>
  <c r="C19" i="3" s="1"/>
  <c r="C20" i="1"/>
  <c r="C20" i="8" s="1"/>
  <c r="B19" i="3" s="1"/>
  <c r="AH19" i="1"/>
  <c r="AH19" i="9" s="1"/>
  <c r="AG21" i="3" s="1"/>
  <c r="AG19" i="1"/>
  <c r="AG19" i="9" s="1"/>
  <c r="AF21" i="3" s="1"/>
  <c r="AF19" i="1"/>
  <c r="AF19" i="9" s="1"/>
  <c r="AE21" i="3" s="1"/>
  <c r="AE19" i="1"/>
  <c r="AE19" i="9" s="1"/>
  <c r="AD21" i="3" s="1"/>
  <c r="AD19" i="1"/>
  <c r="AD19" i="9" s="1"/>
  <c r="AC21" i="3" s="1"/>
  <c r="AC19" i="1"/>
  <c r="AC19" i="9" s="1"/>
  <c r="AB21" i="3" s="1"/>
  <c r="AB19" i="1"/>
  <c r="AB19" i="9" s="1"/>
  <c r="AA21" i="3" s="1"/>
  <c r="AA19" i="1"/>
  <c r="AA19" i="9" s="1"/>
  <c r="Z21" i="3" s="1"/>
  <c r="Z19" i="1"/>
  <c r="Z19" i="9" s="1"/>
  <c r="Y21" i="3" s="1"/>
  <c r="Y19" i="1"/>
  <c r="Y19" i="9" s="1"/>
  <c r="X21" i="3" s="1"/>
  <c r="X19" i="1"/>
  <c r="X19" i="9" s="1"/>
  <c r="W21" i="3" s="1"/>
  <c r="W19" i="1"/>
  <c r="W19" i="9" s="1"/>
  <c r="V21" i="3" s="1"/>
  <c r="V19" i="1"/>
  <c r="V19" i="9" s="1"/>
  <c r="U21" i="3" s="1"/>
  <c r="U19" i="1"/>
  <c r="U19" i="9" s="1"/>
  <c r="T21" i="3" s="1"/>
  <c r="T19" i="1"/>
  <c r="T19" i="9" s="1"/>
  <c r="S21" i="3" s="1"/>
  <c r="S19" i="1"/>
  <c r="S19" i="9" s="1"/>
  <c r="R21" i="3" s="1"/>
  <c r="R19" i="1"/>
  <c r="R19" i="9" s="1"/>
  <c r="Q21" i="3" s="1"/>
  <c r="Q19" i="1"/>
  <c r="Q19" i="9" s="1"/>
  <c r="P21" i="3" s="1"/>
  <c r="P19" i="1"/>
  <c r="P19" i="9" s="1"/>
  <c r="O21" i="3" s="1"/>
  <c r="O19" i="1"/>
  <c r="O19" i="9" s="1"/>
  <c r="N21" i="3" s="1"/>
  <c r="N19" i="1"/>
  <c r="N19" i="9" s="1"/>
  <c r="M21" i="3" s="1"/>
  <c r="M19" i="1"/>
  <c r="M19" i="9" s="1"/>
  <c r="L21" i="3" s="1"/>
  <c r="L19" i="1"/>
  <c r="L19" i="9" s="1"/>
  <c r="K21" i="3" s="1"/>
  <c r="K19" i="1"/>
  <c r="K19" i="9" s="1"/>
  <c r="J21" i="3" s="1"/>
  <c r="J19" i="1"/>
  <c r="J19" i="9" s="1"/>
  <c r="I21" i="3" s="1"/>
  <c r="I19" i="1"/>
  <c r="I19" i="9" s="1"/>
  <c r="H21" i="3" s="1"/>
  <c r="H19" i="1"/>
  <c r="H19" i="8" s="1"/>
  <c r="G18" i="3" s="1"/>
  <c r="G19" i="1"/>
  <c r="G19" i="8" s="1"/>
  <c r="F18" i="3" s="1"/>
  <c r="F19" i="1"/>
  <c r="F19" i="8" s="1"/>
  <c r="E18" i="3" s="1"/>
  <c r="E19" i="1"/>
  <c r="E19" i="8" s="1"/>
  <c r="D18" i="3" s="1"/>
  <c r="D19" i="1"/>
  <c r="D19" i="8" s="1"/>
  <c r="C18" i="3" s="1"/>
  <c r="AH18" i="1"/>
  <c r="AH18" i="9" s="1"/>
  <c r="AG20" i="3" s="1"/>
  <c r="AG18" i="1"/>
  <c r="AG18" i="9" s="1"/>
  <c r="AF20" i="3" s="1"/>
  <c r="AF18" i="1"/>
  <c r="AF18" i="9" s="1"/>
  <c r="AE20" i="3" s="1"/>
  <c r="AE18" i="1"/>
  <c r="AE18" i="9" s="1"/>
  <c r="AD20" i="3" s="1"/>
  <c r="AD18" i="1"/>
  <c r="AD18" i="9" s="1"/>
  <c r="AC20" i="3" s="1"/>
  <c r="AC18" i="1"/>
  <c r="AC18" i="9" s="1"/>
  <c r="AB20" i="3" s="1"/>
  <c r="AB18" i="1"/>
  <c r="AB18" i="9" s="1"/>
  <c r="AA20" i="3" s="1"/>
  <c r="AA18" i="1"/>
  <c r="AA18" i="9" s="1"/>
  <c r="Z20" i="3" s="1"/>
  <c r="Z18" i="1"/>
  <c r="Z18" i="9" s="1"/>
  <c r="Y20" i="3" s="1"/>
  <c r="Y18" i="1"/>
  <c r="Y18" i="9" s="1"/>
  <c r="X20" i="3" s="1"/>
  <c r="X18" i="1"/>
  <c r="X18" i="9" s="1"/>
  <c r="W20" i="3" s="1"/>
  <c r="W18" i="1"/>
  <c r="W18" i="9" s="1"/>
  <c r="V20" i="3" s="1"/>
  <c r="V18" i="1"/>
  <c r="V18" i="9" s="1"/>
  <c r="U20" i="3" s="1"/>
  <c r="U18" i="1"/>
  <c r="U18" i="9" s="1"/>
  <c r="T20" i="3" s="1"/>
  <c r="T18" i="1"/>
  <c r="T18" i="9" s="1"/>
  <c r="S20" i="3" s="1"/>
  <c r="S18" i="1"/>
  <c r="S18" i="9" s="1"/>
  <c r="R20" i="3" s="1"/>
  <c r="R18" i="1"/>
  <c r="R18" i="9" s="1"/>
  <c r="Q20" i="3" s="1"/>
  <c r="Q18" i="1"/>
  <c r="Q18" i="9" s="1"/>
  <c r="P20" i="3" s="1"/>
  <c r="P18" i="1"/>
  <c r="P18" i="9" s="1"/>
  <c r="O20" i="3" s="1"/>
  <c r="O18" i="1"/>
  <c r="O18" i="9" s="1"/>
  <c r="N20" i="3" s="1"/>
  <c r="N18" i="1"/>
  <c r="N18" i="9" s="1"/>
  <c r="M20" i="3" s="1"/>
  <c r="M18" i="1"/>
  <c r="M18" i="9" s="1"/>
  <c r="L20" i="3" s="1"/>
  <c r="L18" i="1"/>
  <c r="L18" i="9" s="1"/>
  <c r="K20" i="3" s="1"/>
  <c r="K18" i="1"/>
  <c r="K18" i="9" s="1"/>
  <c r="J20" i="3" s="1"/>
  <c r="J18" i="1"/>
  <c r="J18" i="9" s="1"/>
  <c r="I20" i="3" s="1"/>
  <c r="I18" i="1"/>
  <c r="I18" i="9" s="1"/>
  <c r="H20" i="3" s="1"/>
  <c r="H18" i="1"/>
  <c r="H18" i="8" s="1"/>
  <c r="G17" i="3" s="1"/>
  <c r="G18" i="1"/>
  <c r="G18" i="8" s="1"/>
  <c r="F17" i="3" s="1"/>
  <c r="F18" i="1"/>
  <c r="F18" i="8" s="1"/>
  <c r="E17" i="3" s="1"/>
  <c r="E18" i="1"/>
  <c r="E18" i="8" s="1"/>
  <c r="D17" i="3" s="1"/>
  <c r="D18" i="1"/>
  <c r="D18" i="8" s="1"/>
  <c r="C17" i="3" s="1"/>
  <c r="C18" i="1"/>
  <c r="C18" i="8" s="1"/>
  <c r="B17" i="3" s="1"/>
  <c r="AH17" i="1"/>
  <c r="AH33" i="9" s="1"/>
  <c r="AG17" i="1"/>
  <c r="AG33" i="9" s="1"/>
  <c r="AF17" i="1"/>
  <c r="AF17" i="9" s="1"/>
  <c r="AE17" i="1"/>
  <c r="AD17" i="1"/>
  <c r="AD17" i="9" s="1"/>
  <c r="AC17" i="1"/>
  <c r="AC17" i="9" s="1"/>
  <c r="AB17" i="1"/>
  <c r="AB17" i="9" s="1"/>
  <c r="AA17" i="1"/>
  <c r="AA17" i="9" s="1"/>
  <c r="Z17" i="1"/>
  <c r="Z17" i="9" s="1"/>
  <c r="Y17" i="1"/>
  <c r="Y17" i="9" s="1"/>
  <c r="X17" i="1"/>
  <c r="X17" i="9" s="1"/>
  <c r="W17" i="1"/>
  <c r="W33" i="9" s="1"/>
  <c r="V17" i="1"/>
  <c r="V33" i="9" s="1"/>
  <c r="U17" i="1"/>
  <c r="U33" i="9" s="1"/>
  <c r="T17" i="1"/>
  <c r="S17" i="1"/>
  <c r="R17" i="1"/>
  <c r="R33" i="9" s="1"/>
  <c r="Q17" i="1"/>
  <c r="Q33" i="9" s="1"/>
  <c r="P17" i="1"/>
  <c r="P33" i="9" s="1"/>
  <c r="O17" i="1"/>
  <c r="O33" i="9" s="1"/>
  <c r="N17" i="1"/>
  <c r="N33" i="9" s="1"/>
  <c r="M17" i="1"/>
  <c r="M33" i="9" s="1"/>
  <c r="L17" i="1"/>
  <c r="L33" i="9" s="1"/>
  <c r="K17" i="1"/>
  <c r="K33" i="9" s="1"/>
  <c r="J17" i="1"/>
  <c r="J33" i="9" s="1"/>
  <c r="I17" i="1"/>
  <c r="I33" i="9" s="1"/>
  <c r="H17" i="1"/>
  <c r="G17" i="1"/>
  <c r="G17" i="8" s="1"/>
  <c r="F17" i="1"/>
  <c r="F33" i="8" s="1"/>
  <c r="E17" i="1"/>
  <c r="E33" i="8" s="1"/>
  <c r="D17" i="1"/>
  <c r="D33" i="8" s="1"/>
  <c r="C17" i="1"/>
  <c r="C33" i="8" s="1"/>
  <c r="AH16" i="1"/>
  <c r="AH16" i="9" s="1"/>
  <c r="AG104" i="2" s="1"/>
  <c r="AG16" i="1"/>
  <c r="AG16" i="9" s="1"/>
  <c r="AF104" i="2" s="1"/>
  <c r="AF16" i="1"/>
  <c r="AF16" i="9" s="1"/>
  <c r="AE104" i="2" s="1"/>
  <c r="AE16" i="1"/>
  <c r="AE16" i="9" s="1"/>
  <c r="AD104" i="2" s="1"/>
  <c r="AD16" i="1"/>
  <c r="AD16" i="9" s="1"/>
  <c r="AC104" i="2" s="1"/>
  <c r="AC16" i="1"/>
  <c r="AC16" i="9" s="1"/>
  <c r="AB104" i="2" s="1"/>
  <c r="AB16" i="1"/>
  <c r="AB16" i="9" s="1"/>
  <c r="AA104" i="2" s="1"/>
  <c r="AA16" i="1"/>
  <c r="AA16" i="9" s="1"/>
  <c r="Z104" i="2" s="1"/>
  <c r="Z16" i="1"/>
  <c r="Z16" i="9" s="1"/>
  <c r="Y104" i="2" s="1"/>
  <c r="Y16" i="1"/>
  <c r="Y16" i="9" s="1"/>
  <c r="X104" i="2" s="1"/>
  <c r="X16" i="1"/>
  <c r="X16" i="9" s="1"/>
  <c r="W104" i="2" s="1"/>
  <c r="W16" i="1"/>
  <c r="W16" i="9" s="1"/>
  <c r="V104" i="2" s="1"/>
  <c r="V16" i="1"/>
  <c r="V16" i="9" s="1"/>
  <c r="U104" i="2" s="1"/>
  <c r="U16" i="1"/>
  <c r="U16" i="9" s="1"/>
  <c r="T104" i="2" s="1"/>
  <c r="T16" i="1"/>
  <c r="T16" i="9" s="1"/>
  <c r="S104" i="2" s="1"/>
  <c r="S16" i="1"/>
  <c r="S16" i="9" s="1"/>
  <c r="R104" i="2" s="1"/>
  <c r="R16" i="1"/>
  <c r="R16" i="9" s="1"/>
  <c r="Q104" i="2" s="1"/>
  <c r="Q16" i="1"/>
  <c r="Q16" i="9" s="1"/>
  <c r="P104" i="2" s="1"/>
  <c r="P16" i="1"/>
  <c r="P16" i="9" s="1"/>
  <c r="O104" i="2" s="1"/>
  <c r="O16" i="1"/>
  <c r="O16" i="9" s="1"/>
  <c r="N104" i="2" s="1"/>
  <c r="N16" i="1"/>
  <c r="N16" i="9" s="1"/>
  <c r="M104" i="2" s="1"/>
  <c r="M16" i="1"/>
  <c r="M16" i="9" s="1"/>
  <c r="L104" i="2" s="1"/>
  <c r="L16" i="1"/>
  <c r="L16" i="9" s="1"/>
  <c r="K104" i="2" s="1"/>
  <c r="K16" i="1"/>
  <c r="K16" i="9" s="1"/>
  <c r="J104" i="2" s="1"/>
  <c r="J16" i="1"/>
  <c r="J16" i="9" s="1"/>
  <c r="I104" i="2" s="1"/>
  <c r="I16" i="1"/>
  <c r="I16" i="9" s="1"/>
  <c r="H104" i="2" s="1"/>
  <c r="H16" i="1"/>
  <c r="H16" i="8" s="1"/>
  <c r="G102" i="2" s="1"/>
  <c r="G16" i="1"/>
  <c r="G16" i="8" s="1"/>
  <c r="F102" i="2" s="1"/>
  <c r="F16" i="1"/>
  <c r="F16" i="8" s="1"/>
  <c r="E102" i="2" s="1"/>
  <c r="E16" i="1"/>
  <c r="E16" i="8" s="1"/>
  <c r="D102" i="2" s="1"/>
  <c r="D16" i="1"/>
  <c r="D16" i="8" s="1"/>
  <c r="C102" i="2" s="1"/>
  <c r="C16" i="1"/>
  <c r="C16" i="8" s="1"/>
  <c r="B102" i="2" s="1"/>
  <c r="AH15" i="1"/>
  <c r="AH15" i="9" s="1"/>
  <c r="AG103" i="2" s="1"/>
  <c r="AG15" i="1"/>
  <c r="AG15" i="9" s="1"/>
  <c r="AF103" i="2" s="1"/>
  <c r="AF15" i="1"/>
  <c r="AF15" i="9" s="1"/>
  <c r="AE103" i="2" s="1"/>
  <c r="AE15" i="1"/>
  <c r="AE15" i="9" s="1"/>
  <c r="AD103" i="2" s="1"/>
  <c r="AD15" i="1"/>
  <c r="AD15" i="9" s="1"/>
  <c r="AC103" i="2" s="1"/>
  <c r="AC15" i="1"/>
  <c r="AC15" i="9" s="1"/>
  <c r="AB103" i="2" s="1"/>
  <c r="AB15" i="1"/>
  <c r="AB15" i="9" s="1"/>
  <c r="AA103" i="2" s="1"/>
  <c r="AA15" i="1"/>
  <c r="AA15" i="9" s="1"/>
  <c r="Z103" i="2" s="1"/>
  <c r="Z15" i="1"/>
  <c r="Z15" i="9" s="1"/>
  <c r="Y103" i="2" s="1"/>
  <c r="Y15" i="1"/>
  <c r="Y15" i="9" s="1"/>
  <c r="X103" i="2" s="1"/>
  <c r="X15" i="1"/>
  <c r="X15" i="9" s="1"/>
  <c r="W103" i="2" s="1"/>
  <c r="W15" i="1"/>
  <c r="W15" i="9" s="1"/>
  <c r="V103" i="2" s="1"/>
  <c r="V15" i="1"/>
  <c r="V15" i="9" s="1"/>
  <c r="U103" i="2" s="1"/>
  <c r="U15" i="1"/>
  <c r="U15" i="9" s="1"/>
  <c r="T103" i="2" s="1"/>
  <c r="T15" i="1"/>
  <c r="T15" i="9" s="1"/>
  <c r="S103" i="2" s="1"/>
  <c r="S15" i="1"/>
  <c r="S15" i="9" s="1"/>
  <c r="R103" i="2" s="1"/>
  <c r="R15" i="1"/>
  <c r="R15" i="9" s="1"/>
  <c r="Q103" i="2" s="1"/>
  <c r="Q15" i="1"/>
  <c r="Q15" i="9" s="1"/>
  <c r="P103" i="2" s="1"/>
  <c r="P15" i="1"/>
  <c r="P15" i="9" s="1"/>
  <c r="O103" i="2" s="1"/>
  <c r="O15" i="1"/>
  <c r="O15" i="9" s="1"/>
  <c r="N103" i="2" s="1"/>
  <c r="N15" i="1"/>
  <c r="N15" i="9" s="1"/>
  <c r="M103" i="2" s="1"/>
  <c r="M15" i="1"/>
  <c r="M15" i="9" s="1"/>
  <c r="L103" i="2" s="1"/>
  <c r="L15" i="1"/>
  <c r="L15" i="9" s="1"/>
  <c r="K103" i="2" s="1"/>
  <c r="K15" i="1"/>
  <c r="K15" i="9" s="1"/>
  <c r="J103" i="2" s="1"/>
  <c r="J15" i="1"/>
  <c r="J15" i="9" s="1"/>
  <c r="I103" i="2" s="1"/>
  <c r="I15" i="1"/>
  <c r="I15" i="9" s="1"/>
  <c r="H103" i="2" s="1"/>
  <c r="H15" i="1"/>
  <c r="H15" i="8" s="1"/>
  <c r="G101" i="2" s="1"/>
  <c r="G15" i="1"/>
  <c r="G15" i="8" s="1"/>
  <c r="F101" i="2" s="1"/>
  <c r="F15" i="1"/>
  <c r="F15" i="8" s="1"/>
  <c r="E101" i="2" s="1"/>
  <c r="E15" i="1"/>
  <c r="E15" i="8" s="1"/>
  <c r="D101" i="2" s="1"/>
  <c r="D15" i="1"/>
  <c r="D15" i="8" s="1"/>
  <c r="C101" i="2" s="1"/>
  <c r="C15" i="1"/>
  <c r="C15" i="8" s="1"/>
  <c r="B101" i="2" s="1"/>
  <c r="AH14" i="1"/>
  <c r="AH14" i="9" s="1"/>
  <c r="AG82" i="2" s="1"/>
  <c r="AG14" i="1"/>
  <c r="AG14" i="9" s="1"/>
  <c r="AF82" i="2" s="1"/>
  <c r="AF14" i="1"/>
  <c r="AF14" i="9" s="1"/>
  <c r="AE82" i="2" s="1"/>
  <c r="AE14" i="1"/>
  <c r="AE14" i="9" s="1"/>
  <c r="AD82" i="2" s="1"/>
  <c r="AD14" i="1"/>
  <c r="AD14" i="9" s="1"/>
  <c r="AC82" i="2" s="1"/>
  <c r="AC14" i="1"/>
  <c r="AC14" i="9" s="1"/>
  <c r="AB82" i="2" s="1"/>
  <c r="AB14" i="1"/>
  <c r="AB14" i="9" s="1"/>
  <c r="AA82" i="2" s="1"/>
  <c r="AA14" i="1"/>
  <c r="AA14" i="9" s="1"/>
  <c r="Z82" i="2" s="1"/>
  <c r="Z14" i="1"/>
  <c r="Z14" i="9" s="1"/>
  <c r="Y82" i="2" s="1"/>
  <c r="Y14" i="1"/>
  <c r="Y14" i="9" s="1"/>
  <c r="X82" i="2" s="1"/>
  <c r="X14" i="1"/>
  <c r="X14" i="9" s="1"/>
  <c r="W82" i="2" s="1"/>
  <c r="W14" i="1"/>
  <c r="W14" i="9" s="1"/>
  <c r="V82" i="2" s="1"/>
  <c r="V14" i="1"/>
  <c r="V14" i="9" s="1"/>
  <c r="U82" i="2" s="1"/>
  <c r="U14" i="1"/>
  <c r="U14" i="9" s="1"/>
  <c r="T82" i="2" s="1"/>
  <c r="T14" i="1"/>
  <c r="T14" i="9" s="1"/>
  <c r="S82" i="2" s="1"/>
  <c r="S14" i="1"/>
  <c r="S14" i="9" s="1"/>
  <c r="R82" i="2" s="1"/>
  <c r="R14" i="1"/>
  <c r="R14" i="9" s="1"/>
  <c r="Q82" i="2" s="1"/>
  <c r="Q14" i="1"/>
  <c r="Q14" i="9" s="1"/>
  <c r="P82" i="2" s="1"/>
  <c r="P14" i="1"/>
  <c r="P14" i="9" s="1"/>
  <c r="O82" i="2" s="1"/>
  <c r="O14" i="1"/>
  <c r="O14" i="9" s="1"/>
  <c r="N82" i="2" s="1"/>
  <c r="N14" i="1"/>
  <c r="N14" i="9" s="1"/>
  <c r="M82" i="2" s="1"/>
  <c r="M14" i="1"/>
  <c r="M14" i="9" s="1"/>
  <c r="L82" i="2" s="1"/>
  <c r="L14" i="1"/>
  <c r="L14" i="9" s="1"/>
  <c r="K82" i="2" s="1"/>
  <c r="K14" i="1"/>
  <c r="K14" i="9" s="1"/>
  <c r="J82" i="2" s="1"/>
  <c r="J14" i="1"/>
  <c r="J14" i="9" s="1"/>
  <c r="I82" i="2" s="1"/>
  <c r="I14" i="1"/>
  <c r="I14" i="9" s="1"/>
  <c r="H82" i="2" s="1"/>
  <c r="H14" i="1"/>
  <c r="H14" i="8" s="1"/>
  <c r="G80" i="2" s="1"/>
  <c r="G14" i="1"/>
  <c r="G14" i="8" s="1"/>
  <c r="F80" i="2" s="1"/>
  <c r="F14" i="1"/>
  <c r="F14" i="8" s="1"/>
  <c r="E80" i="2" s="1"/>
  <c r="E14" i="1"/>
  <c r="E14" i="8" s="1"/>
  <c r="D80" i="2" s="1"/>
  <c r="D14" i="1"/>
  <c r="D14" i="8" s="1"/>
  <c r="C80" i="2" s="1"/>
  <c r="C14" i="1"/>
  <c r="C14" i="8" s="1"/>
  <c r="B80" i="2" s="1"/>
  <c r="AH13" i="1"/>
  <c r="AH13" i="9" s="1"/>
  <c r="AG81" i="2" s="1"/>
  <c r="AG13" i="1"/>
  <c r="AG13" i="9" s="1"/>
  <c r="AF81" i="2" s="1"/>
  <c r="AF13" i="1"/>
  <c r="AF13" i="9" s="1"/>
  <c r="AE81" i="2" s="1"/>
  <c r="AE13" i="1"/>
  <c r="AE13" i="9" s="1"/>
  <c r="AD81" i="2" s="1"/>
  <c r="AD13" i="1"/>
  <c r="AD13" i="9" s="1"/>
  <c r="AC81" i="2" s="1"/>
  <c r="AC13" i="1"/>
  <c r="AC13" i="9" s="1"/>
  <c r="AB81" i="2" s="1"/>
  <c r="AB13" i="1"/>
  <c r="AB13" i="9" s="1"/>
  <c r="AA81" i="2" s="1"/>
  <c r="AA13" i="1"/>
  <c r="AA13" i="9" s="1"/>
  <c r="Z81" i="2" s="1"/>
  <c r="Z13" i="1"/>
  <c r="Z13" i="9" s="1"/>
  <c r="Y81" i="2" s="1"/>
  <c r="Y13" i="1"/>
  <c r="Y13" i="9" s="1"/>
  <c r="X81" i="2" s="1"/>
  <c r="X13" i="1"/>
  <c r="X13" i="9" s="1"/>
  <c r="W81" i="2" s="1"/>
  <c r="W13" i="1"/>
  <c r="W13" i="9" s="1"/>
  <c r="V81" i="2" s="1"/>
  <c r="V13" i="1"/>
  <c r="V13" i="9" s="1"/>
  <c r="U81" i="2" s="1"/>
  <c r="U13" i="1"/>
  <c r="U13" i="9" s="1"/>
  <c r="T81" i="2" s="1"/>
  <c r="T13" i="1"/>
  <c r="T13" i="9" s="1"/>
  <c r="S81" i="2" s="1"/>
  <c r="S13" i="1"/>
  <c r="S13" i="9" s="1"/>
  <c r="R81" i="2" s="1"/>
  <c r="R13" i="1"/>
  <c r="R13" i="9" s="1"/>
  <c r="Q81" i="2" s="1"/>
  <c r="Q13" i="1"/>
  <c r="Q13" i="9" s="1"/>
  <c r="P81" i="2" s="1"/>
  <c r="P13" i="1"/>
  <c r="P13" i="9" s="1"/>
  <c r="O81" i="2" s="1"/>
  <c r="O13" i="1"/>
  <c r="O13" i="9" s="1"/>
  <c r="N81" i="2" s="1"/>
  <c r="N13" i="1"/>
  <c r="N13" i="9" s="1"/>
  <c r="M81" i="2" s="1"/>
  <c r="M13" i="1"/>
  <c r="M13" i="9" s="1"/>
  <c r="L81" i="2" s="1"/>
  <c r="L13" i="1"/>
  <c r="L13" i="9" s="1"/>
  <c r="K81" i="2" s="1"/>
  <c r="K13" i="1"/>
  <c r="K13" i="9" s="1"/>
  <c r="J81" i="2" s="1"/>
  <c r="J13" i="1"/>
  <c r="J13" i="9" s="1"/>
  <c r="I81" i="2" s="1"/>
  <c r="I13" i="1"/>
  <c r="I13" i="9" s="1"/>
  <c r="H81" i="2" s="1"/>
  <c r="H13" i="1"/>
  <c r="H13" i="8" s="1"/>
  <c r="G79" i="2" s="1"/>
  <c r="G13" i="1"/>
  <c r="G13" i="8" s="1"/>
  <c r="F79" i="2" s="1"/>
  <c r="F13" i="1"/>
  <c r="F13" i="8" s="1"/>
  <c r="E79" i="2" s="1"/>
  <c r="E13" i="1"/>
  <c r="E13" i="8" s="1"/>
  <c r="D79" i="2" s="1"/>
  <c r="D13" i="1"/>
  <c r="D13" i="8" s="1"/>
  <c r="C79" i="2" s="1"/>
  <c r="C13" i="1"/>
  <c r="C13" i="8" s="1"/>
  <c r="B79" i="2" s="1"/>
  <c r="AH12" i="1"/>
  <c r="AH12" i="9" s="1"/>
  <c r="AG12" i="1"/>
  <c r="AG12" i="9" s="1"/>
  <c r="AF12" i="1"/>
  <c r="AF12" i="9" s="1"/>
  <c r="AE12" i="1"/>
  <c r="AE12" i="9" s="1"/>
  <c r="AD12" i="1"/>
  <c r="AD12" i="9" s="1"/>
  <c r="AC12" i="1"/>
  <c r="AC12" i="9" s="1"/>
  <c r="AB12" i="1"/>
  <c r="AB12" i="9" s="1"/>
  <c r="AA12" i="1"/>
  <c r="AA12" i="9" s="1"/>
  <c r="Z12" i="1"/>
  <c r="Z12" i="9" s="1"/>
  <c r="Y12" i="1"/>
  <c r="Y12" i="9" s="1"/>
  <c r="X12" i="1"/>
  <c r="X12" i="9" s="1"/>
  <c r="W12" i="1"/>
  <c r="W12" i="9" s="1"/>
  <c r="V12" i="1"/>
  <c r="V12" i="9" s="1"/>
  <c r="U12" i="1"/>
  <c r="U12" i="9" s="1"/>
  <c r="T12" i="1"/>
  <c r="T12" i="9" s="1"/>
  <c r="S12" i="1"/>
  <c r="S12" i="9" s="1"/>
  <c r="R12" i="1"/>
  <c r="R12" i="9" s="1"/>
  <c r="Q12" i="1"/>
  <c r="Q12" i="9" s="1"/>
  <c r="P12" i="1"/>
  <c r="P12" i="9" s="1"/>
  <c r="O12" i="1"/>
  <c r="O12" i="9" s="1"/>
  <c r="N12" i="1"/>
  <c r="N12" i="9" s="1"/>
  <c r="M12" i="1"/>
  <c r="M12" i="9" s="1"/>
  <c r="L12" i="1"/>
  <c r="L12" i="9" s="1"/>
  <c r="K12" i="1"/>
  <c r="K12" i="9" s="1"/>
  <c r="J12" i="1"/>
  <c r="J12" i="9" s="1"/>
  <c r="I12" i="1"/>
  <c r="I12" i="9" s="1"/>
  <c r="H12" i="1"/>
  <c r="H12" i="8" s="1"/>
  <c r="G12" i="1"/>
  <c r="G12" i="8" s="1"/>
  <c r="F12" i="1"/>
  <c r="F12" i="8" s="1"/>
  <c r="E12" i="1"/>
  <c r="E12" i="8" s="1"/>
  <c r="D12" i="1"/>
  <c r="D12" i="8" s="1"/>
  <c r="C12" i="1"/>
  <c r="C12" i="8" s="1"/>
  <c r="AH11" i="1"/>
  <c r="AH11" i="9" s="1"/>
  <c r="AG11" i="1"/>
  <c r="AG11" i="9" s="1"/>
  <c r="AF11" i="1"/>
  <c r="AF11" i="9" s="1"/>
  <c r="AE11" i="1"/>
  <c r="AE11" i="9" s="1"/>
  <c r="AD11" i="1"/>
  <c r="AD11" i="9" s="1"/>
  <c r="AC11" i="1"/>
  <c r="AC11" i="9" s="1"/>
  <c r="AB11" i="1"/>
  <c r="AB11" i="9" s="1"/>
  <c r="AA11" i="1"/>
  <c r="AA11" i="9" s="1"/>
  <c r="Z11" i="1"/>
  <c r="Z11" i="9" s="1"/>
  <c r="Y11" i="1"/>
  <c r="Y11" i="9" s="1"/>
  <c r="X11" i="1"/>
  <c r="X11" i="9" s="1"/>
  <c r="W11" i="1"/>
  <c r="W11" i="9" s="1"/>
  <c r="V11" i="1"/>
  <c r="V11" i="9" s="1"/>
  <c r="U11" i="1"/>
  <c r="U11" i="9" s="1"/>
  <c r="T11" i="1"/>
  <c r="T11" i="9" s="1"/>
  <c r="S11" i="1"/>
  <c r="S11" i="9" s="1"/>
  <c r="R11" i="1"/>
  <c r="R11" i="9" s="1"/>
  <c r="Q11" i="1"/>
  <c r="Q11" i="9" s="1"/>
  <c r="P11" i="1"/>
  <c r="P11" i="9" s="1"/>
  <c r="O11" i="1"/>
  <c r="O11" i="9" s="1"/>
  <c r="N11" i="1"/>
  <c r="N11" i="9" s="1"/>
  <c r="M11" i="1"/>
  <c r="M11" i="9" s="1"/>
  <c r="L11" i="1"/>
  <c r="L11" i="9" s="1"/>
  <c r="K11" i="1"/>
  <c r="K11" i="9" s="1"/>
  <c r="J11" i="1"/>
  <c r="J11" i="9" s="1"/>
  <c r="I11" i="1"/>
  <c r="I11" i="9" s="1"/>
  <c r="H11" i="1"/>
  <c r="H11" i="8" s="1"/>
  <c r="G11" i="1"/>
  <c r="G11" i="8" s="1"/>
  <c r="F11" i="1"/>
  <c r="F11" i="8" s="1"/>
  <c r="E11" i="1"/>
  <c r="E11" i="8" s="1"/>
  <c r="D11" i="1"/>
  <c r="D11" i="8" s="1"/>
  <c r="C11" i="1"/>
  <c r="C11" i="8" s="1"/>
  <c r="AH10" i="1"/>
  <c r="AH10" i="9" s="1"/>
  <c r="AG38" i="2" s="1"/>
  <c r="AG10" i="1"/>
  <c r="AG10" i="9" s="1"/>
  <c r="AF38" i="2" s="1"/>
  <c r="AF10" i="1"/>
  <c r="AF10" i="9" s="1"/>
  <c r="AE38" i="2" s="1"/>
  <c r="AE10" i="1"/>
  <c r="AE10" i="9" s="1"/>
  <c r="AD38" i="2" s="1"/>
  <c r="AD10" i="1"/>
  <c r="AD10" i="9" s="1"/>
  <c r="AC38" i="2" s="1"/>
  <c r="AC10" i="1"/>
  <c r="AC10" i="9" s="1"/>
  <c r="AB38" i="2" s="1"/>
  <c r="AB10" i="1"/>
  <c r="AB10" i="9" s="1"/>
  <c r="AA38" i="2" s="1"/>
  <c r="AA10" i="1"/>
  <c r="AA10" i="9" s="1"/>
  <c r="Z38" i="2" s="1"/>
  <c r="Z10" i="1"/>
  <c r="Z10" i="9" s="1"/>
  <c r="Y38" i="2" s="1"/>
  <c r="Y10" i="1"/>
  <c r="Y10" i="9" s="1"/>
  <c r="X38" i="2" s="1"/>
  <c r="X10" i="1"/>
  <c r="X10" i="9" s="1"/>
  <c r="W38" i="2" s="1"/>
  <c r="W10" i="1"/>
  <c r="W10" i="9" s="1"/>
  <c r="V38" i="2" s="1"/>
  <c r="V10" i="1"/>
  <c r="V10" i="9" s="1"/>
  <c r="U38" i="2" s="1"/>
  <c r="U10" i="1"/>
  <c r="U10" i="9" s="1"/>
  <c r="T38" i="2" s="1"/>
  <c r="T10" i="1"/>
  <c r="T10" i="9" s="1"/>
  <c r="S38" i="2" s="1"/>
  <c r="S10" i="1"/>
  <c r="S10" i="9" s="1"/>
  <c r="R38" i="2" s="1"/>
  <c r="R10" i="1"/>
  <c r="R10" i="9" s="1"/>
  <c r="Q38" i="2" s="1"/>
  <c r="Q10" i="1"/>
  <c r="Q10" i="9" s="1"/>
  <c r="P38" i="2" s="1"/>
  <c r="P10" i="1"/>
  <c r="P10" i="9" s="1"/>
  <c r="O38" i="2" s="1"/>
  <c r="O10" i="1"/>
  <c r="O10" i="9" s="1"/>
  <c r="N38" i="2" s="1"/>
  <c r="N10" i="1"/>
  <c r="N10" i="9" s="1"/>
  <c r="M38" i="2" s="1"/>
  <c r="M10" i="1"/>
  <c r="M10" i="9" s="1"/>
  <c r="L38" i="2" s="1"/>
  <c r="L10" i="1"/>
  <c r="L10" i="9" s="1"/>
  <c r="K38" i="2" s="1"/>
  <c r="K10" i="1"/>
  <c r="K10" i="9" s="1"/>
  <c r="J38" i="2" s="1"/>
  <c r="J10" i="1"/>
  <c r="J10" i="9" s="1"/>
  <c r="I38" i="2" s="1"/>
  <c r="I10" i="1"/>
  <c r="I10" i="9" s="1"/>
  <c r="H38" i="2" s="1"/>
  <c r="H10" i="1"/>
  <c r="H10" i="8" s="1"/>
  <c r="G37" i="2" s="1"/>
  <c r="G10" i="1"/>
  <c r="G10" i="8" s="1"/>
  <c r="F37" i="2" s="1"/>
  <c r="F10" i="1"/>
  <c r="F10" i="8" s="1"/>
  <c r="E37" i="2" s="1"/>
  <c r="E10" i="1"/>
  <c r="E10" i="8" s="1"/>
  <c r="D37" i="2" s="1"/>
  <c r="D10" i="1"/>
  <c r="D10" i="8" s="1"/>
  <c r="C37" i="2" s="1"/>
  <c r="C10" i="1"/>
  <c r="C10" i="8" s="1"/>
  <c r="B37" i="2" s="1"/>
  <c r="AH9" i="1"/>
  <c r="AH9" i="9" s="1"/>
  <c r="AG9" i="1"/>
  <c r="AG9" i="9" s="1"/>
  <c r="AF9" i="1"/>
  <c r="AF9" i="9" s="1"/>
  <c r="AE9" i="1"/>
  <c r="AE9" i="9" s="1"/>
  <c r="AD9" i="1"/>
  <c r="AD9" i="9" s="1"/>
  <c r="AC9" i="1"/>
  <c r="AC9" i="9" s="1"/>
  <c r="AB9" i="1"/>
  <c r="AB9" i="9" s="1"/>
  <c r="AA9" i="1"/>
  <c r="AA9" i="9" s="1"/>
  <c r="Z9" i="1"/>
  <c r="Z9" i="9" s="1"/>
  <c r="Y9" i="1"/>
  <c r="Y9" i="9" s="1"/>
  <c r="X9" i="1"/>
  <c r="X9" i="9" s="1"/>
  <c r="W9" i="1"/>
  <c r="W9" i="9" s="1"/>
  <c r="V9" i="1"/>
  <c r="V9" i="9" s="1"/>
  <c r="U9" i="1"/>
  <c r="U9" i="9" s="1"/>
  <c r="T9" i="1"/>
  <c r="T9" i="9" s="1"/>
  <c r="S9" i="1"/>
  <c r="S9" i="9" s="1"/>
  <c r="R9" i="1"/>
  <c r="R9" i="9" s="1"/>
  <c r="Q9" i="1"/>
  <c r="Q9" i="9" s="1"/>
  <c r="P9" i="1"/>
  <c r="P9" i="9" s="1"/>
  <c r="O9" i="1"/>
  <c r="O9" i="9" s="1"/>
  <c r="N9" i="1"/>
  <c r="N9" i="9" s="1"/>
  <c r="M9" i="1"/>
  <c r="M9" i="9" s="1"/>
  <c r="L9" i="1"/>
  <c r="L9" i="9" s="1"/>
  <c r="K9" i="1"/>
  <c r="K9" i="9" s="1"/>
  <c r="J9" i="1"/>
  <c r="J9" i="9" s="1"/>
  <c r="I9" i="1"/>
  <c r="I9" i="9" s="1"/>
  <c r="H9" i="1"/>
  <c r="H9" i="8" s="1"/>
  <c r="G9" i="1"/>
  <c r="G9" i="8" s="1"/>
  <c r="F9" i="1"/>
  <c r="F9" i="8" s="1"/>
  <c r="E9" i="1"/>
  <c r="E9" i="8" s="1"/>
  <c r="D9" i="1"/>
  <c r="D9" i="8" s="1"/>
  <c r="C9" i="1"/>
  <c r="C9" i="8" s="1"/>
  <c r="AH8" i="1"/>
  <c r="AH8" i="9" s="1"/>
  <c r="AG8" i="1"/>
  <c r="AG8" i="9" s="1"/>
  <c r="AF8" i="1"/>
  <c r="AF8" i="9" s="1"/>
  <c r="AE8" i="1"/>
  <c r="AE8" i="9" s="1"/>
  <c r="AD8" i="1"/>
  <c r="AD8" i="9" s="1"/>
  <c r="AC8" i="1"/>
  <c r="AC8" i="9" s="1"/>
  <c r="AB8" i="1"/>
  <c r="AB8" i="9" s="1"/>
  <c r="AA8" i="1"/>
  <c r="AA8" i="9" s="1"/>
  <c r="Z8" i="1"/>
  <c r="Z8" i="9" s="1"/>
  <c r="Y8" i="1"/>
  <c r="Y8" i="9" s="1"/>
  <c r="X8" i="1"/>
  <c r="X8" i="9" s="1"/>
  <c r="W8" i="1"/>
  <c r="W8" i="9" s="1"/>
  <c r="V8" i="1"/>
  <c r="V8" i="9" s="1"/>
  <c r="U8" i="1"/>
  <c r="U8" i="9" s="1"/>
  <c r="T8" i="1"/>
  <c r="T8" i="9" s="1"/>
  <c r="S8" i="1"/>
  <c r="S8" i="9" s="1"/>
  <c r="R8" i="1"/>
  <c r="R8" i="9" s="1"/>
  <c r="Q8" i="1"/>
  <c r="Q8" i="9" s="1"/>
  <c r="P8" i="1"/>
  <c r="P8" i="9" s="1"/>
  <c r="O8" i="1"/>
  <c r="O8" i="9" s="1"/>
  <c r="N8" i="1"/>
  <c r="N8" i="9" s="1"/>
  <c r="M8" i="1"/>
  <c r="M8" i="9" s="1"/>
  <c r="L8" i="1"/>
  <c r="L8" i="9" s="1"/>
  <c r="K8" i="1"/>
  <c r="K8" i="9" s="1"/>
  <c r="J8" i="1"/>
  <c r="J8" i="9" s="1"/>
  <c r="I8" i="1"/>
  <c r="I8" i="9" s="1"/>
  <c r="H8" i="1"/>
  <c r="H8" i="8" s="1"/>
  <c r="G8" i="1"/>
  <c r="G8" i="8" s="1"/>
  <c r="F8" i="1"/>
  <c r="F8" i="8" s="1"/>
  <c r="E8" i="1"/>
  <c r="E8" i="8" s="1"/>
  <c r="D8" i="1"/>
  <c r="D8" i="8" s="1"/>
  <c r="C8" i="1"/>
  <c r="C8" i="8" s="1"/>
  <c r="AH7" i="1"/>
  <c r="AH7" i="9" s="1"/>
  <c r="AG20" i="4" s="1"/>
  <c r="AG7" i="1"/>
  <c r="AG7" i="9" s="1"/>
  <c r="AF20" i="4" s="1"/>
  <c r="AF7" i="1"/>
  <c r="AF7" i="9" s="1"/>
  <c r="AE20" i="4" s="1"/>
  <c r="AE7" i="1"/>
  <c r="AE7" i="9" s="1"/>
  <c r="AD20" i="4" s="1"/>
  <c r="AD7" i="1"/>
  <c r="AD7" i="9" s="1"/>
  <c r="AC20" i="4" s="1"/>
  <c r="AC7" i="1"/>
  <c r="AC7" i="9" s="1"/>
  <c r="AB20" i="4" s="1"/>
  <c r="AB7" i="1"/>
  <c r="AB7" i="9" s="1"/>
  <c r="AA20" i="4" s="1"/>
  <c r="AA7" i="1"/>
  <c r="AA7" i="9" s="1"/>
  <c r="Z20" i="4" s="1"/>
  <c r="Z7" i="1"/>
  <c r="Z7" i="9" s="1"/>
  <c r="Y20" i="4" s="1"/>
  <c r="Y7" i="1"/>
  <c r="Y7" i="9" s="1"/>
  <c r="X20" i="4" s="1"/>
  <c r="X7" i="1"/>
  <c r="X7" i="9" s="1"/>
  <c r="W20" i="4" s="1"/>
  <c r="W7" i="1"/>
  <c r="W7" i="9" s="1"/>
  <c r="V20" i="4" s="1"/>
  <c r="V7" i="1"/>
  <c r="V7" i="9" s="1"/>
  <c r="U20" i="4" s="1"/>
  <c r="U7" i="1"/>
  <c r="U7" i="9" s="1"/>
  <c r="T20" i="4" s="1"/>
  <c r="T7" i="1"/>
  <c r="T7" i="9" s="1"/>
  <c r="S20" i="4" s="1"/>
  <c r="S7" i="1"/>
  <c r="S7" i="9" s="1"/>
  <c r="R20" i="4" s="1"/>
  <c r="R7" i="1"/>
  <c r="R7" i="9" s="1"/>
  <c r="Q20" i="4" s="1"/>
  <c r="Q7" i="1"/>
  <c r="Q7" i="9" s="1"/>
  <c r="P20" i="4" s="1"/>
  <c r="P7" i="1"/>
  <c r="P7" i="9" s="1"/>
  <c r="O20" i="4" s="1"/>
  <c r="O7" i="1"/>
  <c r="O7" i="9" s="1"/>
  <c r="N20" i="4" s="1"/>
  <c r="N7" i="1"/>
  <c r="N7" i="9" s="1"/>
  <c r="M20" i="4" s="1"/>
  <c r="M7" i="1"/>
  <c r="M7" i="9" s="1"/>
  <c r="L20" i="4" s="1"/>
  <c r="L7" i="1"/>
  <c r="L7" i="9" s="1"/>
  <c r="K20" i="4" s="1"/>
  <c r="K7" i="1"/>
  <c r="K7" i="9" s="1"/>
  <c r="J20" i="4" s="1"/>
  <c r="J7" i="1"/>
  <c r="J7" i="9" s="1"/>
  <c r="I20" i="4" s="1"/>
  <c r="I7" i="1"/>
  <c r="I7" i="9" s="1"/>
  <c r="H20" i="4" s="1"/>
  <c r="H7" i="1"/>
  <c r="H7" i="8" s="1"/>
  <c r="G17" i="4" s="1"/>
  <c r="G7" i="1"/>
  <c r="G7" i="8" s="1"/>
  <c r="F17" i="4" s="1"/>
  <c r="F7" i="1"/>
  <c r="F7" i="8" s="1"/>
  <c r="E17" i="4" s="1"/>
  <c r="E7" i="1"/>
  <c r="E7" i="8" s="1"/>
  <c r="D17" i="4" s="1"/>
  <c r="D7" i="1"/>
  <c r="D7" i="8" s="1"/>
  <c r="C17" i="4" s="1"/>
  <c r="C7" i="1"/>
  <c r="C7" i="8" s="1"/>
  <c r="B17" i="4" s="1"/>
  <c r="AH6" i="1"/>
  <c r="AH6" i="9" s="1"/>
  <c r="AG6" i="1"/>
  <c r="AG6" i="9" s="1"/>
  <c r="AF6" i="1"/>
  <c r="AF6" i="9" s="1"/>
  <c r="AE6" i="1"/>
  <c r="AE6" i="9" s="1"/>
  <c r="AD6" i="1"/>
  <c r="AD6" i="9" s="1"/>
  <c r="AC6" i="1"/>
  <c r="AC6" i="9" s="1"/>
  <c r="AB6" i="1"/>
  <c r="AB6" i="9" s="1"/>
  <c r="AA6" i="1"/>
  <c r="AA6" i="9" s="1"/>
  <c r="Z6" i="1"/>
  <c r="Z6" i="9" s="1"/>
  <c r="Y6" i="1"/>
  <c r="Y6" i="9" s="1"/>
  <c r="X6" i="1"/>
  <c r="X6" i="9" s="1"/>
  <c r="W6" i="1"/>
  <c r="W6" i="9" s="1"/>
  <c r="V6" i="1"/>
  <c r="V6" i="9" s="1"/>
  <c r="U6" i="1"/>
  <c r="U6" i="9" s="1"/>
  <c r="T6" i="1"/>
  <c r="T6" i="9" s="1"/>
  <c r="S6" i="1"/>
  <c r="S6" i="9" s="1"/>
  <c r="R6" i="1"/>
  <c r="R6" i="9" s="1"/>
  <c r="Q6" i="1"/>
  <c r="Q6" i="9" s="1"/>
  <c r="P6" i="1"/>
  <c r="P6" i="9" s="1"/>
  <c r="O6" i="1"/>
  <c r="O6" i="9" s="1"/>
  <c r="N6" i="1"/>
  <c r="N6" i="9" s="1"/>
  <c r="M6" i="1"/>
  <c r="M6" i="9" s="1"/>
  <c r="L6" i="1"/>
  <c r="L6" i="9" s="1"/>
  <c r="K6" i="1"/>
  <c r="K6" i="9" s="1"/>
  <c r="J6" i="1"/>
  <c r="J6" i="9" s="1"/>
  <c r="I6" i="1"/>
  <c r="I6" i="9" s="1"/>
  <c r="H6" i="1"/>
  <c r="H6" i="8" s="1"/>
  <c r="G6" i="1"/>
  <c r="G6" i="8" s="1"/>
  <c r="F6" i="1"/>
  <c r="F6" i="8" s="1"/>
  <c r="E6" i="1"/>
  <c r="E6" i="8" s="1"/>
  <c r="D6" i="1"/>
  <c r="D6" i="8" s="1"/>
  <c r="C6" i="1"/>
  <c r="C6" i="8" s="1"/>
  <c r="A72" i="4"/>
  <c r="A71" i="4"/>
  <c r="A47" i="4"/>
  <c r="A46" i="4"/>
  <c r="A45" i="4"/>
  <c r="A22" i="4"/>
  <c r="A21" i="4"/>
  <c r="A20" i="4"/>
  <c r="A84" i="3"/>
  <c r="A64" i="3"/>
  <c r="A63" i="3"/>
  <c r="A42" i="3"/>
  <c r="A22" i="3"/>
  <c r="A21" i="3"/>
  <c r="A20" i="3"/>
  <c r="A104" i="2"/>
  <c r="A103" i="2"/>
  <c r="A82" i="2"/>
  <c r="A81" i="2"/>
  <c r="A38" i="2"/>
  <c r="A18" i="2"/>
  <c r="AC72" i="4"/>
  <c r="B2" i="7"/>
  <c r="B16" i="7"/>
  <c r="B17" i="7"/>
  <c r="B18" i="7"/>
  <c r="B19" i="7"/>
  <c r="B26" i="7"/>
  <c r="B40" i="7"/>
  <c r="B41" i="7"/>
  <c r="B42" i="7"/>
  <c r="B43" i="7"/>
  <c r="E69" i="4" l="1"/>
  <c r="G88" i="4"/>
  <c r="Q99" i="4"/>
  <c r="Q89" i="4" s="1"/>
  <c r="Q72" i="4"/>
  <c r="G87" i="4"/>
  <c r="F87" i="4"/>
  <c r="AC89" i="4"/>
  <c r="Y89" i="4"/>
  <c r="E88" i="4"/>
  <c r="C94" i="4"/>
  <c r="C87" i="4" s="1"/>
  <c r="C69" i="4"/>
  <c r="I89" i="4"/>
  <c r="B68" i="4"/>
  <c r="B95" i="4"/>
  <c r="K39" i="9"/>
  <c r="J100" i="4" s="1"/>
  <c r="J90" i="4" s="1"/>
  <c r="S39" i="9"/>
  <c r="R100" i="4" s="1"/>
  <c r="R90" i="4" s="1"/>
  <c r="AA39" i="9"/>
  <c r="Z100" i="4" s="1"/>
  <c r="Z90" i="4" s="1"/>
  <c r="AH96" i="4"/>
  <c r="C42" i="8"/>
  <c r="B19" i="4" s="1"/>
  <c r="AA42" i="9"/>
  <c r="Z22" i="4" s="1"/>
  <c r="C50" i="8"/>
  <c r="B70" i="4" s="1"/>
  <c r="K50" i="9"/>
  <c r="J73" i="4" s="1"/>
  <c r="H89" i="4"/>
  <c r="AH98" i="4"/>
  <c r="Z89" i="4"/>
  <c r="R89" i="4"/>
  <c r="J89" i="4"/>
  <c r="AH101" i="4"/>
  <c r="AG89" i="4"/>
  <c r="S71" i="4"/>
  <c r="D42" i="8"/>
  <c r="C19" i="4" s="1"/>
  <c r="L42" i="9"/>
  <c r="K22" i="4" s="1"/>
  <c r="T42" i="9"/>
  <c r="S22" i="4" s="1"/>
  <c r="L49" i="9"/>
  <c r="K99" i="4" s="1"/>
  <c r="K89" i="4" s="1"/>
  <c r="D50" i="8"/>
  <c r="C70" i="4" s="1"/>
  <c r="L50" i="9"/>
  <c r="K73" i="4" s="1"/>
  <c r="T50" i="9"/>
  <c r="S73" i="4" s="1"/>
  <c r="AB50" i="9"/>
  <c r="AA73" i="4" s="1"/>
  <c r="L39" i="9"/>
  <c r="K100" i="4" s="1"/>
  <c r="K90" i="4" s="1"/>
  <c r="E39" i="8"/>
  <c r="D95" i="4" s="1"/>
  <c r="D88" i="4" s="1"/>
  <c r="M39" i="9"/>
  <c r="L100" i="4" s="1"/>
  <c r="L90" i="4" s="1"/>
  <c r="AC39" i="9"/>
  <c r="AB100" i="4" s="1"/>
  <c r="AB90" i="4" s="1"/>
  <c r="M42" i="9"/>
  <c r="L22" i="4" s="1"/>
  <c r="U42" i="9"/>
  <c r="T22" i="4" s="1"/>
  <c r="E49" i="8"/>
  <c r="D94" i="4" s="1"/>
  <c r="M49" i="9"/>
  <c r="L99" i="4" s="1"/>
  <c r="L89" i="4" s="1"/>
  <c r="AC49" i="9"/>
  <c r="AB99" i="4" s="1"/>
  <c r="AB89" i="4" s="1"/>
  <c r="M50" i="9"/>
  <c r="L73" i="4" s="1"/>
  <c r="U50" i="9"/>
  <c r="T73" i="4" s="1"/>
  <c r="AF89" i="4"/>
  <c r="AH97" i="4"/>
  <c r="AH102" i="4"/>
  <c r="E42" i="8"/>
  <c r="D19" i="4" s="1"/>
  <c r="N39" i="9"/>
  <c r="M100" i="4" s="1"/>
  <c r="M90" i="4" s="1"/>
  <c r="V39" i="9"/>
  <c r="U100" i="4" s="1"/>
  <c r="U90" i="4" s="1"/>
  <c r="AD39" i="9"/>
  <c r="AC100" i="4" s="1"/>
  <c r="AC90" i="4" s="1"/>
  <c r="V42" i="9"/>
  <c r="U22" i="4" s="1"/>
  <c r="N49" i="9"/>
  <c r="M99" i="4" s="1"/>
  <c r="M89" i="4" s="1"/>
  <c r="AD50" i="9"/>
  <c r="AC73" i="4" s="1"/>
  <c r="AE89" i="4"/>
  <c r="O89" i="4"/>
  <c r="O39" i="9"/>
  <c r="N100" i="4" s="1"/>
  <c r="N90" i="4" s="1"/>
  <c r="W39" i="9"/>
  <c r="V100" i="4" s="1"/>
  <c r="V90" i="4" s="1"/>
  <c r="AE39" i="9"/>
  <c r="AD100" i="4" s="1"/>
  <c r="AD90" i="4" s="1"/>
  <c r="O42" i="9"/>
  <c r="N22" i="4" s="1"/>
  <c r="AE49" i="9"/>
  <c r="AD99" i="4" s="1"/>
  <c r="AD89" i="4" s="1"/>
  <c r="F70" i="4"/>
  <c r="W50" i="9"/>
  <c r="V73" i="4" s="1"/>
  <c r="AE50" i="9"/>
  <c r="AD73" i="4" s="1"/>
  <c r="V89" i="4"/>
  <c r="N89" i="4"/>
  <c r="G39" i="8"/>
  <c r="F95" i="4" s="1"/>
  <c r="F88" i="4" s="1"/>
  <c r="F50" i="8"/>
  <c r="E70" i="4" s="1"/>
  <c r="G68" i="4"/>
  <c r="P39" i="9"/>
  <c r="O100" i="4" s="1"/>
  <c r="O90" i="4" s="1"/>
  <c r="X39" i="9"/>
  <c r="W100" i="4" s="1"/>
  <c r="W90" i="4" s="1"/>
  <c r="AF39" i="9"/>
  <c r="AE100" i="4" s="1"/>
  <c r="AE90" i="4" s="1"/>
  <c r="X42" i="9"/>
  <c r="W22" i="4" s="1"/>
  <c r="AF42" i="9"/>
  <c r="AE22" i="4" s="1"/>
  <c r="X49" i="9"/>
  <c r="W99" i="4" s="1"/>
  <c r="W89" i="4" s="1"/>
  <c r="H50" i="8"/>
  <c r="G70" i="4" s="1"/>
  <c r="P50" i="9"/>
  <c r="O73" i="4" s="1"/>
  <c r="X50" i="9"/>
  <c r="W73" i="4" s="1"/>
  <c r="AF50" i="9"/>
  <c r="AE73" i="4" s="1"/>
  <c r="E87" i="4"/>
  <c r="U89" i="4"/>
  <c r="E50" i="8"/>
  <c r="D70" i="4" s="1"/>
  <c r="I39" i="9"/>
  <c r="H100" i="4" s="1"/>
  <c r="Q39" i="9"/>
  <c r="P100" i="4" s="1"/>
  <c r="P90" i="4" s="1"/>
  <c r="Y39" i="9"/>
  <c r="X100" i="4" s="1"/>
  <c r="X90" i="4" s="1"/>
  <c r="Q49" i="9"/>
  <c r="P99" i="4" s="1"/>
  <c r="P89" i="4" s="1"/>
  <c r="Y49" i="9"/>
  <c r="X99" i="4" s="1"/>
  <c r="X89" i="4" s="1"/>
  <c r="O2" i="1"/>
  <c r="I50" i="9"/>
  <c r="H73" i="4" s="1"/>
  <c r="X73" i="4"/>
  <c r="T89" i="4"/>
  <c r="Y42" i="9"/>
  <c r="X22" i="4" s="1"/>
  <c r="J39" i="9"/>
  <c r="I100" i="4" s="1"/>
  <c r="I90" i="4" s="1"/>
  <c r="R39" i="9"/>
  <c r="Q100" i="4" s="1"/>
  <c r="Q90" i="4" s="1"/>
  <c r="Z39" i="9"/>
  <c r="Y100" i="4" s="1"/>
  <c r="Y90" i="4" s="1"/>
  <c r="AH39" i="9"/>
  <c r="AG100" i="4" s="1"/>
  <c r="AG90" i="4" s="1"/>
  <c r="J42" i="9"/>
  <c r="I22" i="4" s="1"/>
  <c r="AH42" i="9"/>
  <c r="AG22" i="4" s="1"/>
  <c r="Y72" i="4"/>
  <c r="R50" i="9"/>
  <c r="Q73" i="4" s="1"/>
  <c r="P2" i="1"/>
  <c r="AH50" i="9"/>
  <c r="AA89" i="4"/>
  <c r="S89" i="4"/>
  <c r="AB39" i="9"/>
  <c r="AA100" i="4" s="1"/>
  <c r="AA90" i="4" s="1"/>
  <c r="T71" i="4"/>
  <c r="AF71" i="4"/>
  <c r="M73" i="4"/>
  <c r="Y73" i="4"/>
  <c r="J72" i="4"/>
  <c r="V72" i="4"/>
  <c r="N73" i="4"/>
  <c r="Z73" i="4"/>
  <c r="P73" i="4"/>
  <c r="AB73" i="4"/>
  <c r="O72" i="4"/>
  <c r="AA72" i="4"/>
  <c r="H22" i="4"/>
  <c r="Z72" i="4"/>
  <c r="M22" i="4"/>
  <c r="Y22" i="4"/>
  <c r="O22" i="4"/>
  <c r="AA22" i="4"/>
  <c r="S72" i="4"/>
  <c r="AE72" i="4"/>
  <c r="R72" i="4"/>
  <c r="P22" i="4"/>
  <c r="AB22" i="4"/>
  <c r="T72" i="4"/>
  <c r="AF72" i="4"/>
  <c r="Q22" i="4"/>
  <c r="AC22" i="4"/>
  <c r="I72" i="4"/>
  <c r="U72" i="4"/>
  <c r="R22" i="4"/>
  <c r="AF22" i="4"/>
  <c r="AD22" i="4"/>
  <c r="J22" i="4"/>
  <c r="V22" i="4"/>
  <c r="N72" i="4"/>
  <c r="F69" i="4"/>
  <c r="G69" i="4"/>
  <c r="C68" i="4"/>
  <c r="E68" i="4"/>
  <c r="E19" i="4"/>
  <c r="F19" i="4"/>
  <c r="G19" i="4"/>
  <c r="B69" i="4"/>
  <c r="B93" i="4"/>
  <c r="B39" i="7"/>
  <c r="B15" i="7"/>
  <c r="B38" i="7"/>
  <c r="B14" i="7"/>
  <c r="B31" i="7"/>
  <c r="B7" i="7"/>
  <c r="B30" i="7"/>
  <c r="B6" i="7"/>
  <c r="B29" i="7"/>
  <c r="B5" i="7"/>
  <c r="B28" i="7"/>
  <c r="B4" i="7"/>
  <c r="B27" i="7"/>
  <c r="B3" i="7"/>
  <c r="B34" i="7"/>
  <c r="B22" i="7"/>
  <c r="B10" i="7"/>
  <c r="B1" i="7"/>
  <c r="B33" i="7"/>
  <c r="B21" i="7"/>
  <c r="B9" i="7"/>
  <c r="B37" i="7"/>
  <c r="B25" i="7"/>
  <c r="B13" i="7"/>
  <c r="B36" i="7"/>
  <c r="B24" i="7"/>
  <c r="B12" i="7"/>
  <c r="B35" i="7"/>
  <c r="B23" i="7"/>
  <c r="B11" i="7"/>
  <c r="B44" i="7"/>
  <c r="B32" i="7"/>
  <c r="B20" i="7"/>
  <c r="I47" i="4"/>
  <c r="T47" i="4"/>
  <c r="AF47" i="4"/>
  <c r="B44" i="4"/>
  <c r="N47" i="4"/>
  <c r="Z47" i="4"/>
  <c r="C44" i="4"/>
  <c r="F44" i="4"/>
  <c r="R47" i="4"/>
  <c r="D44" i="4"/>
  <c r="AB47" i="4"/>
  <c r="E44" i="4"/>
  <c r="Q47" i="4"/>
  <c r="AC47" i="4"/>
  <c r="G44" i="4"/>
  <c r="S47" i="4"/>
  <c r="AE47" i="4"/>
  <c r="K47" i="4"/>
  <c r="I18" i="2"/>
  <c r="U18" i="2"/>
  <c r="AG18" i="2"/>
  <c r="AG59" i="2" s="1"/>
  <c r="J18" i="2"/>
  <c r="V18" i="2"/>
  <c r="V59" i="2" s="1"/>
  <c r="K18" i="2"/>
  <c r="W18" i="2"/>
  <c r="L18" i="2"/>
  <c r="X18" i="2"/>
  <c r="X59" i="2" s="1"/>
  <c r="M18" i="2"/>
  <c r="Y18" i="2"/>
  <c r="Y59" i="2" s="1"/>
  <c r="G17" i="2"/>
  <c r="S18" i="2"/>
  <c r="AE18" i="2"/>
  <c r="H18" i="2"/>
  <c r="T18" i="2"/>
  <c r="AF18" i="2"/>
  <c r="AF59" i="2" s="1"/>
  <c r="N18" i="2"/>
  <c r="C17" i="2"/>
  <c r="O18" i="2"/>
  <c r="AA18" i="2"/>
  <c r="D17" i="2"/>
  <c r="P18" i="2"/>
  <c r="AB18" i="2"/>
  <c r="E17" i="2"/>
  <c r="Q18" i="2"/>
  <c r="AC18" i="2"/>
  <c r="AC59" i="2" s="1"/>
  <c r="F17" i="2"/>
  <c r="R18" i="2"/>
  <c r="AD18" i="2"/>
  <c r="AD59" i="2" s="1"/>
  <c r="B17" i="2"/>
  <c r="Z18" i="2"/>
  <c r="A21" i="11"/>
  <c r="A23" i="11"/>
  <c r="A9" i="11"/>
  <c r="A26" i="11"/>
  <c r="A14" i="11"/>
  <c r="AE38" i="9"/>
  <c r="AD47" i="4" s="1"/>
  <c r="A24" i="11"/>
  <c r="A27" i="11"/>
  <c r="I38" i="9"/>
  <c r="H47" i="4" s="1"/>
  <c r="A15" i="11"/>
  <c r="A13" i="11"/>
  <c r="V38" i="9"/>
  <c r="U47" i="4" s="1"/>
  <c r="AH38" i="9"/>
  <c r="AG47" i="4" s="1"/>
  <c r="A4" i="11"/>
  <c r="N38" i="9"/>
  <c r="M47" i="4" s="1"/>
  <c r="A20" i="11"/>
  <c r="Z38" i="9"/>
  <c r="Y47" i="4" s="1"/>
  <c r="A22" i="11"/>
  <c r="AB38" i="9"/>
  <c r="AA47" i="4" s="1"/>
  <c r="Q38" i="9"/>
  <c r="P47" i="4" s="1"/>
  <c r="A11" i="11"/>
  <c r="G62" i="3"/>
  <c r="A6" i="11"/>
  <c r="A12" i="11"/>
  <c r="K38" i="9"/>
  <c r="J47" i="4" s="1"/>
  <c r="A5" i="11"/>
  <c r="W38" i="9"/>
  <c r="V47" i="4" s="1"/>
  <c r="A17" i="11"/>
  <c r="M38" i="9"/>
  <c r="L47" i="4" s="1"/>
  <c r="A7" i="11"/>
  <c r="X38" i="9"/>
  <c r="W47" i="4" s="1"/>
  <c r="A18" i="11"/>
  <c r="Y38" i="9"/>
  <c r="X47" i="4" s="1"/>
  <c r="A19" i="11"/>
  <c r="P38" i="9"/>
  <c r="O47" i="4" s="1"/>
  <c r="AC64" i="3"/>
  <c r="Q64" i="3"/>
  <c r="D62" i="3"/>
  <c r="E62" i="3"/>
  <c r="F62" i="3"/>
  <c r="R64" i="3"/>
  <c r="AD64" i="3"/>
  <c r="S64" i="3"/>
  <c r="AE64" i="3"/>
  <c r="L64" i="3"/>
  <c r="X64" i="3"/>
  <c r="M64" i="3"/>
  <c r="Y64" i="3"/>
  <c r="P64" i="3"/>
  <c r="AB64" i="3"/>
  <c r="I64" i="3"/>
  <c r="U64" i="3"/>
  <c r="AG64" i="3"/>
  <c r="AH80" i="2"/>
  <c r="J64" i="3"/>
  <c r="V64" i="3"/>
  <c r="AH18" i="3"/>
  <c r="K64" i="3"/>
  <c r="W64" i="3"/>
  <c r="AH79" i="2"/>
  <c r="AH102" i="2"/>
  <c r="B62" i="3"/>
  <c r="N64" i="3"/>
  <c r="Z64" i="3"/>
  <c r="C62" i="3"/>
  <c r="AA64" i="3"/>
  <c r="AH21" i="3"/>
  <c r="AH101" i="2"/>
  <c r="AH19" i="3"/>
  <c r="AH81" i="2"/>
  <c r="H64" i="3"/>
  <c r="T64" i="3"/>
  <c r="AF64" i="3"/>
  <c r="AH20" i="4"/>
  <c r="AH41" i="3"/>
  <c r="B61" i="3"/>
  <c r="AH84" i="3"/>
  <c r="AH21" i="4"/>
  <c r="O64" i="3"/>
  <c r="AH22" i="3"/>
  <c r="AH20" i="3"/>
  <c r="AH17" i="3"/>
  <c r="AH38" i="2"/>
  <c r="AH104" i="2"/>
  <c r="AH103" i="2"/>
  <c r="AH82" i="2"/>
  <c r="O63" i="3"/>
  <c r="AH63" i="3" s="1"/>
  <c r="AH42" i="3"/>
  <c r="V17" i="9"/>
  <c r="X33" i="9"/>
  <c r="E17" i="8"/>
  <c r="G33" i="8"/>
  <c r="I17" i="9"/>
  <c r="W17" i="9"/>
  <c r="Y33" i="9"/>
  <c r="F17" i="8"/>
  <c r="J17" i="9"/>
  <c r="Z33" i="9"/>
  <c r="S33" i="9"/>
  <c r="S17" i="9"/>
  <c r="T17" i="9"/>
  <c r="T33" i="9"/>
  <c r="K17" i="9"/>
  <c r="AA33" i="9"/>
  <c r="H33" i="8"/>
  <c r="H17" i="8"/>
  <c r="L17" i="9"/>
  <c r="AB33" i="9"/>
  <c r="AG73" i="4"/>
  <c r="AE33" i="9"/>
  <c r="AE17" i="9"/>
  <c r="M17" i="9"/>
  <c r="AC33" i="9"/>
  <c r="N17" i="9"/>
  <c r="AD33" i="9"/>
  <c r="O17" i="9"/>
  <c r="AF33" i="9"/>
  <c r="P17" i="9"/>
  <c r="Q17" i="9"/>
  <c r="AG17" i="9"/>
  <c r="R17" i="9"/>
  <c r="AH17" i="9"/>
  <c r="C17" i="8"/>
  <c r="U17" i="9"/>
  <c r="D17" i="8"/>
  <c r="V16" i="4"/>
  <c r="V41" i="4" s="1"/>
  <c r="W16" i="4"/>
  <c r="W41" i="4" s="1"/>
  <c r="X16" i="4"/>
  <c r="X41" i="4" s="1"/>
  <c r="Y16" i="4"/>
  <c r="Y41" i="4" s="1"/>
  <c r="Z16" i="4"/>
  <c r="Z41" i="4" s="1"/>
  <c r="AA16" i="4"/>
  <c r="AA41" i="4" s="1"/>
  <c r="AB16" i="4"/>
  <c r="AB41" i="4" s="1"/>
  <c r="AC16" i="4"/>
  <c r="AC41" i="4" s="1"/>
  <c r="AD16" i="4"/>
  <c r="AD41" i="4" s="1"/>
  <c r="AE16" i="4"/>
  <c r="AE41" i="4" s="1"/>
  <c r="AF16" i="4"/>
  <c r="AF41" i="4" s="1"/>
  <c r="AG16" i="4"/>
  <c r="AG41" i="4" s="1"/>
  <c r="V16" i="3"/>
  <c r="V40" i="3" s="1"/>
  <c r="V60" i="3" s="1"/>
  <c r="V82" i="3" s="1"/>
  <c r="W16" i="3"/>
  <c r="W40" i="3" s="1"/>
  <c r="W60" i="3" s="1"/>
  <c r="W82" i="3" s="1"/>
  <c r="X16" i="3"/>
  <c r="X40" i="3" s="1"/>
  <c r="X60" i="3" s="1"/>
  <c r="X82" i="3" s="1"/>
  <c r="Y16" i="3"/>
  <c r="Y40" i="3" s="1"/>
  <c r="Y60" i="3" s="1"/>
  <c r="Y82" i="3" s="1"/>
  <c r="Z16" i="3"/>
  <c r="Z40" i="3" s="1"/>
  <c r="Z60" i="3" s="1"/>
  <c r="Z82" i="3" s="1"/>
  <c r="AA16" i="3"/>
  <c r="AA40" i="3" s="1"/>
  <c r="AA60" i="3" s="1"/>
  <c r="AA82" i="3" s="1"/>
  <c r="AB16" i="3"/>
  <c r="AB40" i="3" s="1"/>
  <c r="AB60" i="3" s="1"/>
  <c r="AB82" i="3" s="1"/>
  <c r="AC16" i="3"/>
  <c r="AC40" i="3" s="1"/>
  <c r="AC60" i="3" s="1"/>
  <c r="AC82" i="3" s="1"/>
  <c r="AD16" i="3"/>
  <c r="AD40" i="3" s="1"/>
  <c r="AD60" i="3" s="1"/>
  <c r="AD82" i="3" s="1"/>
  <c r="AE16" i="3"/>
  <c r="AE40" i="3" s="1"/>
  <c r="AE60" i="3" s="1"/>
  <c r="AE82" i="3" s="1"/>
  <c r="AF16" i="3"/>
  <c r="AF40" i="3" s="1"/>
  <c r="AF60" i="3" s="1"/>
  <c r="AF82" i="3" s="1"/>
  <c r="AG16" i="3"/>
  <c r="AG40" i="3" s="1"/>
  <c r="AG60" i="3" s="1"/>
  <c r="AG82" i="3" s="1"/>
  <c r="W4" i="9"/>
  <c r="X4" i="9"/>
  <c r="Y4" i="9"/>
  <c r="Z4" i="9"/>
  <c r="AA4" i="9"/>
  <c r="AB4" i="9"/>
  <c r="AC4" i="9"/>
  <c r="AD4" i="9"/>
  <c r="AE4" i="9"/>
  <c r="AF4" i="9"/>
  <c r="AG4" i="9"/>
  <c r="AH4" i="9"/>
  <c r="W5" i="9"/>
  <c r="X5" i="9"/>
  <c r="Y5" i="9"/>
  <c r="Z5" i="9"/>
  <c r="AA5" i="9"/>
  <c r="AB5" i="9"/>
  <c r="AC5" i="9"/>
  <c r="AD5" i="9"/>
  <c r="AE5" i="9"/>
  <c r="AF5" i="9"/>
  <c r="AG5" i="9"/>
  <c r="AH5" i="9"/>
  <c r="V60" i="2"/>
  <c r="W60" i="2"/>
  <c r="X60" i="2"/>
  <c r="Y60" i="2"/>
  <c r="Z60" i="2"/>
  <c r="AA60" i="2"/>
  <c r="AB60" i="2"/>
  <c r="AC60" i="2"/>
  <c r="AD60" i="2"/>
  <c r="AE60" i="2"/>
  <c r="AF60" i="2"/>
  <c r="AG60" i="2"/>
  <c r="V16" i="2"/>
  <c r="V36" i="2" s="1"/>
  <c r="V56" i="2" s="1"/>
  <c r="V78" i="2" s="1"/>
  <c r="V100" i="2" s="1"/>
  <c r="W16" i="2"/>
  <c r="W36" i="2" s="1"/>
  <c r="W56" i="2" s="1"/>
  <c r="W78" i="2" s="1"/>
  <c r="W100" i="2" s="1"/>
  <c r="X16" i="2"/>
  <c r="X36" i="2" s="1"/>
  <c r="X56" i="2" s="1"/>
  <c r="X78" i="2" s="1"/>
  <c r="X100" i="2" s="1"/>
  <c r="Y16" i="2"/>
  <c r="Y36" i="2" s="1"/>
  <c r="Y56" i="2" s="1"/>
  <c r="Y78" i="2" s="1"/>
  <c r="Y100" i="2" s="1"/>
  <c r="Z16" i="2"/>
  <c r="Z36" i="2" s="1"/>
  <c r="Z56" i="2" s="1"/>
  <c r="Z78" i="2" s="1"/>
  <c r="Z100" i="2" s="1"/>
  <c r="AA16" i="2"/>
  <c r="AA36" i="2" s="1"/>
  <c r="AA56" i="2" s="1"/>
  <c r="AA78" i="2" s="1"/>
  <c r="AA100" i="2" s="1"/>
  <c r="AB16" i="2"/>
  <c r="AB36" i="2" s="1"/>
  <c r="AB56" i="2" s="1"/>
  <c r="AB78" i="2" s="1"/>
  <c r="AB100" i="2" s="1"/>
  <c r="AC16" i="2"/>
  <c r="AC36" i="2" s="1"/>
  <c r="AC56" i="2" s="1"/>
  <c r="AC78" i="2" s="1"/>
  <c r="AC100" i="2" s="1"/>
  <c r="AD16" i="2"/>
  <c r="AD36" i="2" s="1"/>
  <c r="AD56" i="2" s="1"/>
  <c r="AD78" i="2" s="1"/>
  <c r="AD100" i="2" s="1"/>
  <c r="AE16" i="2"/>
  <c r="AE36" i="2" s="1"/>
  <c r="AE56" i="2" s="1"/>
  <c r="AE78" i="2" s="1"/>
  <c r="AE100" i="2" s="1"/>
  <c r="AF16" i="2"/>
  <c r="AF36" i="2" s="1"/>
  <c r="AF56" i="2" s="1"/>
  <c r="AF78" i="2" s="1"/>
  <c r="AF100" i="2" s="1"/>
  <c r="AG16" i="2"/>
  <c r="AG36" i="2" s="1"/>
  <c r="AG56" i="2" s="1"/>
  <c r="AG78" i="2" s="1"/>
  <c r="AG100" i="2" s="1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A40" i="7"/>
  <c r="A41" i="7"/>
  <c r="A42" i="7"/>
  <c r="A43" i="7"/>
  <c r="A44" i="7"/>
  <c r="A39" i="7"/>
  <c r="A36" i="7"/>
  <c r="A37" i="7"/>
  <c r="A38" i="7"/>
  <c r="A33" i="7"/>
  <c r="A22" i="7"/>
  <c r="A23" i="7"/>
  <c r="A24" i="7"/>
  <c r="A25" i="7"/>
  <c r="A26" i="7"/>
  <c r="A27" i="7"/>
  <c r="A7" i="7"/>
  <c r="Q71" i="4" l="1"/>
  <c r="Z71" i="4"/>
  <c r="M71" i="4"/>
  <c r="AB72" i="4"/>
  <c r="AC71" i="4"/>
  <c r="AB71" i="4"/>
  <c r="R71" i="4"/>
  <c r="AH94" i="4"/>
  <c r="N71" i="4"/>
  <c r="D69" i="4"/>
  <c r="D68" i="4"/>
  <c r="W71" i="4"/>
  <c r="V71" i="4"/>
  <c r="M72" i="4"/>
  <c r="AH99" i="4"/>
  <c r="AA67" i="4"/>
  <c r="AA92" i="4"/>
  <c r="AD72" i="4"/>
  <c r="L72" i="4"/>
  <c r="K72" i="4"/>
  <c r="B88" i="4"/>
  <c r="AH95" i="4"/>
  <c r="Z67" i="4"/>
  <c r="Z92" i="4"/>
  <c r="AG71" i="4"/>
  <c r="X72" i="4"/>
  <c r="P71" i="4"/>
  <c r="W72" i="4"/>
  <c r="F68" i="4"/>
  <c r="K71" i="4"/>
  <c r="H90" i="4"/>
  <c r="AH100" i="4"/>
  <c r="X67" i="4"/>
  <c r="X92" i="4"/>
  <c r="Y71" i="4"/>
  <c r="P72" i="4"/>
  <c r="H71" i="4"/>
  <c r="O71" i="4"/>
  <c r="L71" i="4"/>
  <c r="AG67" i="4"/>
  <c r="AG92" i="4"/>
  <c r="AF67" i="4"/>
  <c r="AF92" i="4"/>
  <c r="AE67" i="4"/>
  <c r="AE92" i="4"/>
  <c r="W67" i="4"/>
  <c r="W92" i="4"/>
  <c r="D87" i="4"/>
  <c r="AD71" i="4"/>
  <c r="Y67" i="4"/>
  <c r="Y92" i="4"/>
  <c r="AD67" i="4"/>
  <c r="AD92" i="4"/>
  <c r="V67" i="4"/>
  <c r="V92" i="4"/>
  <c r="AC67" i="4"/>
  <c r="AC92" i="4"/>
  <c r="AB67" i="4"/>
  <c r="AB92" i="4"/>
  <c r="AH93" i="4"/>
  <c r="B87" i="4"/>
  <c r="I71" i="4"/>
  <c r="X71" i="4"/>
  <c r="AE71" i="4"/>
  <c r="U71" i="4"/>
  <c r="AA71" i="4"/>
  <c r="J71" i="4"/>
  <c r="AG72" i="4"/>
  <c r="AH22" i="4"/>
  <c r="H72" i="4"/>
  <c r="AH18" i="2"/>
  <c r="P1" i="1"/>
  <c r="AH64" i="3"/>
  <c r="AB59" i="2"/>
  <c r="Z59" i="2"/>
  <c r="AE59" i="2"/>
  <c r="W59" i="2"/>
  <c r="AA59" i="2"/>
  <c r="T16" i="4"/>
  <c r="T41" i="4" s="1"/>
  <c r="U16" i="4"/>
  <c r="U41" i="4" s="1"/>
  <c r="T16" i="3"/>
  <c r="T40" i="3" s="1"/>
  <c r="T60" i="3" s="1"/>
  <c r="T82" i="3" s="1"/>
  <c r="U16" i="3"/>
  <c r="U40" i="3" s="1"/>
  <c r="U60" i="3" s="1"/>
  <c r="U82" i="3" s="1"/>
  <c r="T36" i="2"/>
  <c r="T56" i="2" s="1"/>
  <c r="T78" i="2" s="1"/>
  <c r="T100" i="2" s="1"/>
  <c r="U36" i="2"/>
  <c r="U56" i="2" s="1"/>
  <c r="U78" i="2" s="1"/>
  <c r="U100" i="2" s="1"/>
  <c r="U4" i="9"/>
  <c r="V4" i="9"/>
  <c r="U5" i="9"/>
  <c r="V5" i="9"/>
  <c r="U59" i="2"/>
  <c r="T60" i="2"/>
  <c r="U60" i="2"/>
  <c r="U3" i="8"/>
  <c r="V3" i="8"/>
  <c r="U5" i="8"/>
  <c r="V5" i="8"/>
  <c r="AH68" i="4" l="1"/>
  <c r="T67" i="4"/>
  <c r="T92" i="4"/>
  <c r="AH71" i="4"/>
  <c r="U67" i="4"/>
  <c r="U92" i="4"/>
  <c r="T59" i="2"/>
  <c r="A15" i="7"/>
  <c r="A2" i="7" l="1"/>
  <c r="A3" i="7"/>
  <c r="A4" i="7"/>
  <c r="A5" i="7"/>
  <c r="A6" i="7"/>
  <c r="A8" i="7"/>
  <c r="A9" i="7"/>
  <c r="A10" i="7"/>
  <c r="A11" i="7"/>
  <c r="A12" i="7"/>
  <c r="A13" i="7"/>
  <c r="A14" i="7"/>
  <c r="A16" i="7"/>
  <c r="A17" i="7"/>
  <c r="A18" i="7"/>
  <c r="A19" i="7"/>
  <c r="A20" i="7"/>
  <c r="A21" i="7"/>
  <c r="A28" i="7"/>
  <c r="A29" i="7"/>
  <c r="A30" i="7"/>
  <c r="A31" i="7"/>
  <c r="A32" i="7"/>
  <c r="A34" i="7"/>
  <c r="A35" i="7"/>
  <c r="A60" i="2" l="1"/>
  <c r="A59" i="2"/>
  <c r="I4" i="9" l="1"/>
  <c r="J4" i="9"/>
  <c r="K4" i="9"/>
  <c r="L4" i="9"/>
  <c r="M4" i="9"/>
  <c r="N4" i="9"/>
  <c r="O4" i="9"/>
  <c r="P4" i="9"/>
  <c r="Q4" i="9"/>
  <c r="R4" i="9"/>
  <c r="S4" i="9"/>
  <c r="T4" i="9"/>
  <c r="I5" i="9"/>
  <c r="J5" i="9"/>
  <c r="K5" i="9"/>
  <c r="L5" i="9"/>
  <c r="M5" i="9"/>
  <c r="N5" i="9"/>
  <c r="O5" i="9"/>
  <c r="P5" i="9"/>
  <c r="Q5" i="9"/>
  <c r="R5" i="9"/>
  <c r="S5" i="9"/>
  <c r="T5" i="9"/>
  <c r="J3" i="9"/>
  <c r="K3" i="9"/>
  <c r="L3" i="9"/>
  <c r="M3" i="9"/>
  <c r="N3" i="9"/>
  <c r="O3" i="9"/>
  <c r="P3" i="9"/>
  <c r="Q3" i="9"/>
  <c r="R3" i="9"/>
  <c r="S3" i="9"/>
  <c r="T3" i="9"/>
  <c r="I3" i="9"/>
  <c r="D3" i="8"/>
  <c r="D3" i="9" s="1"/>
  <c r="E3" i="8"/>
  <c r="E3" i="9" s="1"/>
  <c r="F3" i="8"/>
  <c r="F3" i="9" s="1"/>
  <c r="G3" i="8"/>
  <c r="G3" i="9" s="1"/>
  <c r="H3" i="8"/>
  <c r="H3" i="9" s="1"/>
  <c r="I3" i="8"/>
  <c r="J3" i="8"/>
  <c r="K3" i="8"/>
  <c r="L3" i="8"/>
  <c r="M3" i="8"/>
  <c r="N3" i="8"/>
  <c r="O3" i="8"/>
  <c r="P3" i="8"/>
  <c r="Q3" i="8"/>
  <c r="R3" i="8"/>
  <c r="S3" i="8"/>
  <c r="T3" i="8"/>
  <c r="D4" i="9"/>
  <c r="E4" i="9"/>
  <c r="F4" i="9"/>
  <c r="G4" i="9"/>
  <c r="H4" i="9"/>
  <c r="D5" i="8"/>
  <c r="D5" i="9" s="1"/>
  <c r="E5" i="8"/>
  <c r="E5" i="9" s="1"/>
  <c r="F5" i="8"/>
  <c r="F5" i="9" s="1"/>
  <c r="G5" i="8"/>
  <c r="G5" i="9" s="1"/>
  <c r="H5" i="8"/>
  <c r="H5" i="9" s="1"/>
  <c r="I5" i="8"/>
  <c r="J5" i="8"/>
  <c r="K5" i="8"/>
  <c r="L5" i="8"/>
  <c r="M5" i="8"/>
  <c r="N5" i="8"/>
  <c r="O5" i="8"/>
  <c r="P5" i="8"/>
  <c r="Q5" i="8"/>
  <c r="R5" i="8"/>
  <c r="S5" i="8"/>
  <c r="T5" i="8"/>
  <c r="C4" i="9"/>
  <c r="C5" i="8"/>
  <c r="C5" i="9" s="1"/>
  <c r="C3" i="8"/>
  <c r="C3" i="9" s="1"/>
  <c r="AH73" i="4" l="1"/>
  <c r="AH72" i="4"/>
  <c r="AH45" i="4"/>
  <c r="AH47" i="4"/>
  <c r="AH46" i="4"/>
  <c r="AH69" i="4"/>
  <c r="AH44" i="4"/>
  <c r="AH43" i="4"/>
  <c r="AH70" i="4"/>
  <c r="AH42" i="4"/>
  <c r="S16" i="4"/>
  <c r="S41" i="4" s="1"/>
  <c r="R16" i="4"/>
  <c r="R41" i="4" s="1"/>
  <c r="Q16" i="4"/>
  <c r="Q41" i="4" s="1"/>
  <c r="P16" i="4"/>
  <c r="P41" i="4" s="1"/>
  <c r="O16" i="4"/>
  <c r="O41" i="4" s="1"/>
  <c r="N16" i="4"/>
  <c r="N41" i="4" s="1"/>
  <c r="M16" i="4"/>
  <c r="M41" i="4" s="1"/>
  <c r="L16" i="4"/>
  <c r="L41" i="4" s="1"/>
  <c r="K16" i="4"/>
  <c r="K41" i="4" s="1"/>
  <c r="J16" i="4"/>
  <c r="J41" i="4" s="1"/>
  <c r="I16" i="4"/>
  <c r="I41" i="4" s="1"/>
  <c r="H16" i="4"/>
  <c r="H41" i="4" s="1"/>
  <c r="G16" i="4"/>
  <c r="G41" i="4" s="1"/>
  <c r="F16" i="4"/>
  <c r="F41" i="4" s="1"/>
  <c r="E16" i="4"/>
  <c r="E41" i="4" s="1"/>
  <c r="D16" i="4"/>
  <c r="D41" i="4" s="1"/>
  <c r="C16" i="4"/>
  <c r="C41" i="4" s="1"/>
  <c r="B16" i="4"/>
  <c r="B41" i="4" s="1"/>
  <c r="K67" i="4" l="1"/>
  <c r="K92" i="4"/>
  <c r="S67" i="4"/>
  <c r="S92" i="4"/>
  <c r="D67" i="4"/>
  <c r="D92" i="4"/>
  <c r="L67" i="4"/>
  <c r="L92" i="4"/>
  <c r="E67" i="4"/>
  <c r="E92" i="4"/>
  <c r="M67" i="4"/>
  <c r="M92" i="4"/>
  <c r="F67" i="4"/>
  <c r="F92" i="4"/>
  <c r="N67" i="4"/>
  <c r="N92" i="4"/>
  <c r="C67" i="4"/>
  <c r="C92" i="4"/>
  <c r="G67" i="4"/>
  <c r="G92" i="4"/>
  <c r="O67" i="4"/>
  <c r="O92" i="4"/>
  <c r="H67" i="4"/>
  <c r="H92" i="4"/>
  <c r="P67" i="4"/>
  <c r="P92" i="4"/>
  <c r="I67" i="4"/>
  <c r="I92" i="4"/>
  <c r="Q67" i="4"/>
  <c r="Q92" i="4"/>
  <c r="B67" i="4"/>
  <c r="B92" i="4"/>
  <c r="J67" i="4"/>
  <c r="J92" i="4"/>
  <c r="R67" i="4"/>
  <c r="R92" i="4"/>
  <c r="AO63" i="3"/>
  <c r="AO62" i="3"/>
  <c r="AH83" i="3"/>
  <c r="AH19" i="4"/>
  <c r="AH18" i="4"/>
  <c r="AH17" i="4"/>
  <c r="AH62" i="3"/>
  <c r="AK63" i="3" s="1"/>
  <c r="AH61" i="3"/>
  <c r="AK62" i="3" s="1"/>
  <c r="S16" i="3"/>
  <c r="S40" i="3" s="1"/>
  <c r="S60" i="3" s="1"/>
  <c r="S82" i="3" s="1"/>
  <c r="R16" i="3"/>
  <c r="R40" i="3" s="1"/>
  <c r="R60" i="3" s="1"/>
  <c r="R82" i="3" s="1"/>
  <c r="Q16" i="3"/>
  <c r="Q40" i="3" s="1"/>
  <c r="Q60" i="3" s="1"/>
  <c r="Q82" i="3" s="1"/>
  <c r="P16" i="3"/>
  <c r="P40" i="3" s="1"/>
  <c r="P60" i="3" s="1"/>
  <c r="P82" i="3" s="1"/>
  <c r="O16" i="3"/>
  <c r="O40" i="3" s="1"/>
  <c r="O60" i="3" s="1"/>
  <c r="O82" i="3" s="1"/>
  <c r="N16" i="3"/>
  <c r="N40" i="3" s="1"/>
  <c r="N60" i="3" s="1"/>
  <c r="N82" i="3" s="1"/>
  <c r="M16" i="3"/>
  <c r="M40" i="3" s="1"/>
  <c r="M60" i="3" s="1"/>
  <c r="M82" i="3" s="1"/>
  <c r="L16" i="3"/>
  <c r="L40" i="3" s="1"/>
  <c r="L60" i="3" s="1"/>
  <c r="L82" i="3" s="1"/>
  <c r="K16" i="3"/>
  <c r="K40" i="3" s="1"/>
  <c r="K60" i="3" s="1"/>
  <c r="K82" i="3" s="1"/>
  <c r="J16" i="3"/>
  <c r="J40" i="3" s="1"/>
  <c r="J60" i="3" s="1"/>
  <c r="J82" i="3" s="1"/>
  <c r="I16" i="3"/>
  <c r="I40" i="3" s="1"/>
  <c r="I60" i="3" s="1"/>
  <c r="I82" i="3" s="1"/>
  <c r="H16" i="3"/>
  <c r="H40" i="3" s="1"/>
  <c r="H60" i="3" s="1"/>
  <c r="H82" i="3" s="1"/>
  <c r="G16" i="3"/>
  <c r="G40" i="3" s="1"/>
  <c r="G60" i="3" s="1"/>
  <c r="G82" i="3" s="1"/>
  <c r="F16" i="3"/>
  <c r="F40" i="3" s="1"/>
  <c r="F60" i="3" s="1"/>
  <c r="F82" i="3" s="1"/>
  <c r="E16" i="3"/>
  <c r="E40" i="3" s="1"/>
  <c r="E60" i="3" s="1"/>
  <c r="E82" i="3" s="1"/>
  <c r="D16" i="3"/>
  <c r="D40" i="3" s="1"/>
  <c r="D60" i="3" s="1"/>
  <c r="D82" i="3" s="1"/>
  <c r="C16" i="3"/>
  <c r="C40" i="3" s="1"/>
  <c r="C60" i="3" s="1"/>
  <c r="C82" i="3" s="1"/>
  <c r="B16" i="3"/>
  <c r="B40" i="3" s="1"/>
  <c r="B60" i="3" s="1"/>
  <c r="B82" i="3" s="1"/>
  <c r="AO64" i="3" l="1"/>
  <c r="AP63" i="3" s="1"/>
  <c r="AK64" i="3"/>
  <c r="AL62" i="3" l="1"/>
  <c r="AL63" i="3"/>
  <c r="AP62" i="3"/>
  <c r="I60" i="2"/>
  <c r="J60" i="2"/>
  <c r="K60" i="2"/>
  <c r="L60" i="2"/>
  <c r="M60" i="2"/>
  <c r="N60" i="2"/>
  <c r="O60" i="2"/>
  <c r="P60" i="2"/>
  <c r="Q60" i="2"/>
  <c r="R60" i="2"/>
  <c r="S60" i="2"/>
  <c r="C58" i="2"/>
  <c r="D58" i="2"/>
  <c r="E58" i="2"/>
  <c r="F58" i="2"/>
  <c r="G58" i="2"/>
  <c r="B58" i="2"/>
  <c r="I59" i="2"/>
  <c r="J59" i="2"/>
  <c r="K59" i="2"/>
  <c r="L59" i="2"/>
  <c r="M59" i="2"/>
  <c r="N59" i="2"/>
  <c r="O59" i="2"/>
  <c r="P59" i="2"/>
  <c r="Q59" i="2"/>
  <c r="R59" i="2"/>
  <c r="S59" i="2"/>
  <c r="C57" i="2"/>
  <c r="D57" i="2"/>
  <c r="E57" i="2"/>
  <c r="F57" i="2"/>
  <c r="G57" i="2"/>
  <c r="R36" i="2"/>
  <c r="R56" i="2" s="1"/>
  <c r="R78" i="2" s="1"/>
  <c r="R100" i="2" s="1"/>
  <c r="S36" i="2"/>
  <c r="S56" i="2" s="1"/>
  <c r="S78" i="2" s="1"/>
  <c r="S100" i="2" s="1"/>
  <c r="C36" i="2"/>
  <c r="C56" i="2" s="1"/>
  <c r="C78" i="2" s="1"/>
  <c r="C100" i="2" s="1"/>
  <c r="D36" i="2"/>
  <c r="D56" i="2" s="1"/>
  <c r="D78" i="2" s="1"/>
  <c r="D100" i="2" s="1"/>
  <c r="E36" i="2"/>
  <c r="E56" i="2" s="1"/>
  <c r="E78" i="2" s="1"/>
  <c r="E100" i="2" s="1"/>
  <c r="F36" i="2"/>
  <c r="F56" i="2" s="1"/>
  <c r="F78" i="2" s="1"/>
  <c r="F100" i="2" s="1"/>
  <c r="G36" i="2"/>
  <c r="G56" i="2" s="1"/>
  <c r="G78" i="2" s="1"/>
  <c r="G100" i="2" s="1"/>
  <c r="H36" i="2"/>
  <c r="H56" i="2" s="1"/>
  <c r="H78" i="2" s="1"/>
  <c r="H100" i="2" s="1"/>
  <c r="I36" i="2"/>
  <c r="I56" i="2" s="1"/>
  <c r="I78" i="2" s="1"/>
  <c r="I100" i="2" s="1"/>
  <c r="J36" i="2"/>
  <c r="J56" i="2" s="1"/>
  <c r="J78" i="2" s="1"/>
  <c r="J100" i="2" s="1"/>
  <c r="K36" i="2"/>
  <c r="K56" i="2" s="1"/>
  <c r="K78" i="2" s="1"/>
  <c r="K100" i="2" s="1"/>
  <c r="L36" i="2"/>
  <c r="L56" i="2" s="1"/>
  <c r="L78" i="2" s="1"/>
  <c r="L100" i="2" s="1"/>
  <c r="M36" i="2"/>
  <c r="M56" i="2" s="1"/>
  <c r="M78" i="2" s="1"/>
  <c r="M100" i="2" s="1"/>
  <c r="N36" i="2"/>
  <c r="N56" i="2" s="1"/>
  <c r="N78" i="2" s="1"/>
  <c r="N100" i="2" s="1"/>
  <c r="O36" i="2"/>
  <c r="O56" i="2" s="1"/>
  <c r="O78" i="2" s="1"/>
  <c r="O100" i="2" s="1"/>
  <c r="P36" i="2"/>
  <c r="P56" i="2" s="1"/>
  <c r="P78" i="2" s="1"/>
  <c r="P100" i="2" s="1"/>
  <c r="Q36" i="2"/>
  <c r="Q56" i="2" s="1"/>
  <c r="Q78" i="2" s="1"/>
  <c r="Q100" i="2" s="1"/>
  <c r="B36" i="2"/>
  <c r="B56" i="2" s="1"/>
  <c r="B78" i="2" s="1"/>
  <c r="B100" i="2" s="1"/>
  <c r="A58" i="2"/>
  <c r="A1" i="7"/>
  <c r="AH58" i="2" l="1"/>
  <c r="AP23" i="2"/>
  <c r="AP24" i="2"/>
  <c r="B57" i="2"/>
  <c r="AH57" i="2" s="1"/>
  <c r="AH17" i="2"/>
  <c r="AL23" i="2" s="1"/>
  <c r="H59" i="2"/>
  <c r="AH59" i="2" s="1"/>
  <c r="H60" i="2"/>
  <c r="AH60" i="2" s="1"/>
  <c r="A57" i="2"/>
  <c r="AH37" i="2"/>
  <c r="AL24" i="2" s="1"/>
  <c r="AL25" i="2" l="1"/>
  <c r="AM24" i="2" s="1"/>
  <c r="AP25" i="2"/>
  <c r="AQ24" i="2" s="1"/>
  <c r="AM23" i="2" l="1"/>
  <c r="AQ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ltrn</author>
  </authors>
  <commentList>
    <comment ref="A39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Stock in External Warehouse(s).  Reporting only (values already included within Net Inventory)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ltrn</author>
  </authors>
  <commentList>
    <comment ref="A39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Stock in External Warehouse(s).  Reporting only (values already included within Net Inventory)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ltrn</author>
  </authors>
  <commentList>
    <comment ref="A39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Stock in External Warehouse(s).  Reporting only (values already included within Net Inventory)
</t>
        </r>
      </text>
    </comment>
  </commentList>
</comments>
</file>

<file path=xl/sharedStrings.xml><?xml version="1.0" encoding="utf-8"?>
<sst xmlns="http://schemas.openxmlformats.org/spreadsheetml/2006/main" count="459" uniqueCount="127">
  <si>
    <t>DC In to Stock</t>
  </si>
  <si>
    <t>DC In to Stock from other BU</t>
  </si>
  <si>
    <t>Total DC In to Stock (Queue Corrected)</t>
  </si>
  <si>
    <t>Total Transit IN</t>
  </si>
  <si>
    <t>Total Inflow</t>
  </si>
  <si>
    <t>Total Inflow (Queue Corrected)</t>
  </si>
  <si>
    <t>-</t>
  </si>
  <si>
    <t>DC Out from Stock to STO</t>
  </si>
  <si>
    <t>DC Out from Stock to CDC</t>
  </si>
  <si>
    <t>DC Out from Stock to other BU</t>
  </si>
  <si>
    <t>Total DC Out from Stock</t>
  </si>
  <si>
    <t>Total DC Out Transit</t>
  </si>
  <si>
    <t>Total Outbound</t>
  </si>
  <si>
    <t>Picking %</t>
  </si>
  <si>
    <t>Picking m3</t>
  </si>
  <si>
    <t>Picking OL/m3</t>
  </si>
  <si>
    <t>Transit OL/m3</t>
  </si>
  <si>
    <t>Full Pallet OL/m3</t>
  </si>
  <si>
    <t>Full Pallet OL</t>
  </si>
  <si>
    <t>Total OL</t>
  </si>
  <si>
    <t>Total Handling (before Queue Correction)</t>
  </si>
  <si>
    <t>Total Handling (Queue Corrected)</t>
  </si>
  <si>
    <t>Container m3 in Queue</t>
  </si>
  <si>
    <t>Stock in DC + Ext. Storage</t>
  </si>
  <si>
    <t>Stock incl. Queue</t>
  </si>
  <si>
    <t>Main Building Stock</t>
  </si>
  <si>
    <t>Main Building Capacity m3</t>
  </si>
  <si>
    <t>Main Building Storage Utilization</t>
  </si>
  <si>
    <t>External Stock</t>
  </si>
  <si>
    <t>External Capacity m3</t>
  </si>
  <si>
    <t>External Storage Utilization</t>
  </si>
  <si>
    <t>Total DC Storage Capacity (incl. external)</t>
  </si>
  <si>
    <t>Total Storage Utilization</t>
  </si>
  <si>
    <t>SUP to DC excl. Transit (queue corr)</t>
  </si>
  <si>
    <t>Transit IN</t>
  </si>
  <si>
    <t>Other Inflow (clearings)</t>
  </si>
  <si>
    <t>TOTAL INFLOW (queue corr)</t>
  </si>
  <si>
    <t>DC to Store (excl. Transit)</t>
  </si>
  <si>
    <t>Transit OUT</t>
  </si>
  <si>
    <t>DC to CDC</t>
  </si>
  <si>
    <t>Other Outflow (clearings)</t>
  </si>
  <si>
    <t>TOTAL OUTFLOW</t>
  </si>
  <si>
    <t>Picking OL</t>
  </si>
  <si>
    <t>TOTAL HANDLING (que corrected)</t>
  </si>
  <si>
    <t>Container queue (Top m3)</t>
  </si>
  <si>
    <t>Number of Containers queue (Top)</t>
  </si>
  <si>
    <t>Stock in house (incl. external)</t>
  </si>
  <si>
    <t>Storage capacity (Main Building)</t>
  </si>
  <si>
    <t>Storage utilization</t>
  </si>
  <si>
    <t xml:space="preserve">External Capacity </t>
  </si>
  <si>
    <t>Storage utiliz. (incl. External)</t>
  </si>
  <si>
    <t xml:space="preserve"> -Actual</t>
  </si>
  <si>
    <t>Total DC in to Stock</t>
  </si>
  <si>
    <t>Avg</t>
  </si>
  <si>
    <t>Total Transit In</t>
  </si>
  <si>
    <t>Flow Type</t>
  </si>
  <si>
    <t>Act wkly Avg</t>
  </si>
  <si>
    <t>Share</t>
  </si>
  <si>
    <t>Total</t>
  </si>
  <si>
    <t>FC wkly Avg</t>
  </si>
  <si>
    <t>DC Replenishment and Other Inflow</t>
  </si>
  <si>
    <t>Actuals</t>
  </si>
  <si>
    <t>Forecast</t>
  </si>
  <si>
    <t>Land Volume (DC Stock)</t>
  </si>
  <si>
    <t>Land Volume (Transit)</t>
  </si>
  <si>
    <t>Ocean Volume (DC Stock)</t>
  </si>
  <si>
    <t>Ocean Volume (Transit)</t>
  </si>
  <si>
    <t>Transit OL</t>
  </si>
  <si>
    <t>Total Upside Handling Capacity</t>
  </si>
  <si>
    <t>Total Upside Handling Capacity Utilization %</t>
  </si>
  <si>
    <t>Total Upside Handling Capacity Utilization % (Queue Corrected)</t>
  </si>
  <si>
    <t>DC_Overview_Measures</t>
  </si>
  <si>
    <t>Hand. Cap. Ut.</t>
  </si>
  <si>
    <t>Stock S&amp;E</t>
  </si>
  <si>
    <t>Week</t>
  </si>
  <si>
    <t>DC_Summary_Measures</t>
  </si>
  <si>
    <t>Forecast Flag</t>
  </si>
  <si>
    <t>TOTAL OUTBOUND</t>
  </si>
  <si>
    <t>STOCK IN DC + Ext. Storage</t>
  </si>
  <si>
    <t>Operational Queue</t>
  </si>
  <si>
    <t>Utilization (DC Stock+Queue)</t>
  </si>
  <si>
    <t/>
  </si>
  <si>
    <t>All Dates</t>
  </si>
  <si>
    <t>ACT</t>
  </si>
  <si>
    <t>FCST</t>
  </si>
  <si>
    <t>Operational Queue Forecast</t>
  </si>
  <si>
    <t>Total DC Storage Capacity (incl. external) Forecast</t>
  </si>
  <si>
    <t>Stock in DC + Ext. Storage Forecast</t>
  </si>
  <si>
    <t>Container m3 in Queue Forecast</t>
  </si>
  <si>
    <t>Utilization (DC Stock+Queue) Forecast</t>
  </si>
  <si>
    <t>Total Capacity</t>
  </si>
  <si>
    <t>Total Capacity Forecast</t>
  </si>
  <si>
    <t>Stock incl. Queue Forecast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</si>
  <si>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</si>
  <si>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</si>
  <si>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</si>
  <si>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</si>
  <si>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</si>
  <si>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</si>
  <si>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</si>
  <si>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</si>
  <si>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</si>
  <si>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</si>
  <si>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</si>
  <si>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202642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</si>
  <si>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</si>
  <si>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</si>
  <si>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</si>
  <si>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</si>
  <si>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</si>
  <si>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</si>
  <si>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</si>
  <si>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</si>
  <si>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</si>
  <si>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</si>
  <si>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202653</t>
  </si>
  <si>
    <t>previous STP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</si>
  <si>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</si>
  <si>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</si>
  <si>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</si>
  <si>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</si>
  <si>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</si>
  <si>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</si>
  <si>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</si>
  <si>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</si>
  <si>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</si>
  <si>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OUTBOUND DC to STO CDC WK37 org 20k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</si>
</sst>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;\(#,##0\)"/>
    <numFmt numFmtId="165" formatCode="#.00%"/>
    <numFmt numFmtId="166" formatCode="#,##0.00;\(#,##0.00\)"/>
    <numFmt numFmtId="167" formatCode="_-* #,##0_-;\-* #,##0_-;_-* &quot;-&quot;??_-;_-@_-"/>
    <numFmt numFmtId="168" formatCode="0.0%"/>
    <numFmt numFmtId="169" formatCode="#%"/>
    <numFmt numFmtId="170" formatCode="#,##0.00%;\(#,##0.00%\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indexed="81"/>
      <name val="Tahoma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gray0625">
        <bgColor theme="5" tint="0.79998168889431442"/>
      </patternFill>
    </fill>
    <fill>
      <patternFill patternType="solid">
        <fgColor theme="0" tint="-0.249977111117893"/>
        <bgColor indexed="64"/>
      </patternFill>
    </fill>
    <fill>
      <patternFill patternType="gray0625"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gray0625">
        <bgColor theme="9" tint="-0.499984740745262"/>
      </patternFill>
    </fill>
    <fill>
      <patternFill patternType="gray0625">
        <bgColor theme="4" tint="0.39997558519241921"/>
      </patternFill>
    </fill>
    <fill>
      <patternFill patternType="solid">
        <fgColor theme="1" tint="0.34998626667073579"/>
        <bgColor indexed="64"/>
      </patternFill>
    </fill>
    <fill>
      <patternFill patternType="gray0625"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gray0625">
        <bgColor theme="0" tint="-0.34998626667073579"/>
      </patternFill>
    </fill>
    <fill>
      <patternFill patternType="gray0625">
        <bgColor rgb="FFFF0000"/>
      </patternFill>
    </fill>
    <fill>
      <patternFill patternType="solid">
        <fgColor theme="7" tint="0.39997558519241921"/>
        <bgColor indexed="64"/>
      </patternFill>
    </fill>
    <fill>
      <patternFill patternType="gray0625">
        <bgColor theme="7" tint="0.5999938962981048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gray0625">
        <bgColor rgb="FF00B050"/>
      </patternFill>
    </fill>
    <fill>
      <patternFill patternType="gray0625"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-0.249977111117893"/>
      </patternFill>
    </fill>
    <fill>
      <patternFill patternType="solid">
        <fgColor rgb="FFBED7A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0">
    <xf numFmtId="0" fontId="0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0" borderId="14" applyNumberFormat="0" applyFill="0" applyProtection="0">
      <alignment horizontal="center" vertical="center"/>
    </xf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4" fillId="0" borderId="15" applyFont="0" applyFill="0" applyAlignment="0" applyProtection="0"/>
    <xf numFmtId="3" fontId="13" fillId="0" borderId="14" applyNumberFormat="0" applyFill="0" applyAlignment="0" applyProtection="0"/>
    <xf numFmtId="0" fontId="13" fillId="0" borderId="14" applyNumberFormat="0" applyFill="0" applyAlignment="0" applyProtection="0"/>
    <xf numFmtId="3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3" fontId="14" fillId="0" borderId="0" applyNumberFormat="0" applyBorder="0" applyAlignment="0" applyProtection="0"/>
    <xf numFmtId="3" fontId="14" fillId="0" borderId="0" applyNumberFormat="0" applyBorder="0" applyAlignment="0" applyProtection="0"/>
    <xf numFmtId="3" fontId="14" fillId="0" borderId="0" applyNumberFormat="0" applyBorder="0" applyAlignment="0" applyProtection="0"/>
    <xf numFmtId="3" fontId="14" fillId="0" borderId="0" applyNumberFormat="0" applyBorder="0" applyAlignment="0" applyProtection="0"/>
    <xf numFmtId="3" fontId="14" fillId="0" borderId="0" applyNumberFormat="0" applyBorder="0" applyAlignment="0" applyProtection="0"/>
    <xf numFmtId="3" fontId="14" fillId="0" borderId="15" applyNumberFormat="0" applyBorder="0" applyAlignment="0" applyProtection="0"/>
    <xf numFmtId="3" fontId="14" fillId="0" borderId="15" applyNumberFormat="0" applyBorder="0" applyAlignment="0" applyProtection="0"/>
    <xf numFmtId="3" fontId="14" fillId="0" borderId="15" applyNumberFormat="0" applyBorder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>
      <alignment horizontal="right" vertical="center"/>
    </xf>
    <xf numFmtId="3" fontId="14" fillId="37" borderId="15">
      <alignment horizontal="center" vertical="center"/>
    </xf>
    <xf numFmtId="0" fontId="14" fillId="37" borderId="15">
      <alignment horizontal="right" vertical="center"/>
    </xf>
    <xf numFmtId="0" fontId="13" fillId="0" borderId="16">
      <alignment horizontal="left" vertical="center"/>
    </xf>
    <xf numFmtId="0" fontId="13" fillId="0" borderId="17">
      <alignment horizontal="center" vertical="center"/>
    </xf>
    <xf numFmtId="0" fontId="15" fillId="0" borderId="18">
      <alignment horizontal="center" vertical="center"/>
    </xf>
    <xf numFmtId="0" fontId="14" fillId="3" borderId="15"/>
    <xf numFmtId="3" fontId="16" fillId="0" borderId="15"/>
    <xf numFmtId="3" fontId="17" fillId="0" borderId="15"/>
    <xf numFmtId="0" fontId="13" fillId="0" borderId="17">
      <alignment horizontal="left" vertical="top"/>
    </xf>
    <xf numFmtId="0" fontId="18" fillId="0" borderId="15"/>
    <xf numFmtId="0" fontId="13" fillId="0" borderId="17">
      <alignment horizontal="left" vertical="center"/>
    </xf>
    <xf numFmtId="0" fontId="14" fillId="37" borderId="19"/>
    <xf numFmtId="3" fontId="14" fillId="0" borderId="15">
      <alignment horizontal="right" vertical="center"/>
    </xf>
    <xf numFmtId="0" fontId="13" fillId="0" borderId="17">
      <alignment horizontal="right" vertical="center"/>
    </xf>
    <xf numFmtId="0" fontId="14" fillId="0" borderId="18">
      <alignment horizontal="center" vertical="center"/>
    </xf>
    <xf numFmtId="3" fontId="14" fillId="0" borderId="15"/>
    <xf numFmtId="3" fontId="14" fillId="0" borderId="15"/>
    <xf numFmtId="0" fontId="14" fillId="0" borderId="18">
      <alignment horizontal="center" vertical="center" wrapText="1"/>
    </xf>
    <xf numFmtId="0" fontId="19" fillId="0" borderId="18">
      <alignment horizontal="left" vertical="center" indent="1"/>
    </xf>
    <xf numFmtId="0" fontId="20" fillId="0" borderId="15"/>
    <xf numFmtId="0" fontId="13" fillId="0" borderId="16">
      <alignment horizontal="left" vertical="center"/>
    </xf>
    <xf numFmtId="3" fontId="14" fillId="0" borderId="15">
      <alignment horizontal="center" vertical="center"/>
    </xf>
    <xf numFmtId="0" fontId="13" fillId="0" borderId="17">
      <alignment horizontal="center" vertical="center"/>
    </xf>
    <xf numFmtId="0" fontId="13" fillId="0" borderId="17">
      <alignment horizontal="center" vertical="center"/>
    </xf>
    <xf numFmtId="0" fontId="13" fillId="0" borderId="16">
      <alignment horizontal="left" vertical="center"/>
    </xf>
    <xf numFmtId="0" fontId="13" fillId="0" borderId="16">
      <alignment horizontal="left" vertical="center"/>
    </xf>
    <xf numFmtId="0" fontId="21" fillId="0" borderId="15"/>
  </cellStyleXfs>
  <cellXfs count="177">
    <xf numFmtId="0" fontId="0" fillId="0" borderId="0" xfId="0"/>
    <xf numFmtId="0" fontId="2" fillId="6" borderId="0" xfId="1" applyFont="1" applyFill="1"/>
    <xf numFmtId="3" fontId="2" fillId="8" borderId="2" xfId="2" applyNumberFormat="1" applyFont="1" applyFill="1" applyBorder="1"/>
    <xf numFmtId="3" fontId="3" fillId="8" borderId="2" xfId="2" applyNumberFormat="1" applyFont="1" applyFill="1" applyBorder="1"/>
    <xf numFmtId="3" fontId="2" fillId="10" borderId="2" xfId="2" applyNumberFormat="1" applyFont="1" applyFill="1" applyBorder="1"/>
    <xf numFmtId="3" fontId="3" fillId="10" borderId="2" xfId="2" applyNumberFormat="1" applyFont="1" applyFill="1" applyBorder="1"/>
    <xf numFmtId="3" fontId="2" fillId="3" borderId="2" xfId="2" applyNumberFormat="1" applyFont="1" applyFill="1" applyBorder="1"/>
    <xf numFmtId="0" fontId="0" fillId="9" borderId="0" xfId="0" applyFill="1"/>
    <xf numFmtId="3" fontId="3" fillId="4" borderId="2" xfId="2" applyNumberFormat="1" applyFont="1" applyFill="1" applyBorder="1"/>
    <xf numFmtId="0" fontId="8" fillId="9" borderId="3" xfId="0" applyFont="1" applyFill="1" applyBorder="1" applyAlignment="1">
      <alignment horizontal="center"/>
    </xf>
    <xf numFmtId="0" fontId="0" fillId="11" borderId="3" xfId="0" applyFill="1" applyBorder="1"/>
    <xf numFmtId="167" fontId="0" fillId="11" borderId="3" xfId="0" applyNumberFormat="1" applyFill="1" applyBorder="1"/>
    <xf numFmtId="0" fontId="8" fillId="9" borderId="5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9" borderId="3" xfId="0" applyFont="1" applyFill="1" applyBorder="1"/>
    <xf numFmtId="167" fontId="6" fillId="15" borderId="3" xfId="3" applyNumberFormat="1" applyFont="1" applyFill="1" applyBorder="1"/>
    <xf numFmtId="167" fontId="9" fillId="15" borderId="3" xfId="3" applyNumberFormat="1" applyFont="1" applyFill="1" applyBorder="1"/>
    <xf numFmtId="0" fontId="6" fillId="13" borderId="3" xfId="0" applyFont="1" applyFill="1" applyBorder="1"/>
    <xf numFmtId="167" fontId="6" fillId="13" borderId="3" xfId="3" applyNumberFormat="1" applyFont="1" applyFill="1" applyBorder="1"/>
    <xf numFmtId="0" fontId="5" fillId="11" borderId="3" xfId="0" applyFont="1" applyFill="1" applyBorder="1"/>
    <xf numFmtId="167" fontId="5" fillId="11" borderId="3" xfId="0" applyNumberFormat="1" applyFont="1" applyFill="1" applyBorder="1"/>
    <xf numFmtId="167" fontId="0" fillId="11" borderId="8" xfId="3" applyNumberFormat="1" applyFont="1" applyFill="1" applyBorder="1" applyAlignment="1">
      <alignment horizontal="center"/>
    </xf>
    <xf numFmtId="167" fontId="0" fillId="11" borderId="9" xfId="3" applyNumberFormat="1" applyFont="1" applyFill="1" applyBorder="1" applyAlignment="1">
      <alignment horizontal="center"/>
    </xf>
    <xf numFmtId="168" fontId="6" fillId="13" borderId="3" xfId="4" applyNumberFormat="1" applyFont="1" applyFill="1" applyBorder="1"/>
    <xf numFmtId="0" fontId="6" fillId="13" borderId="3" xfId="0" applyFont="1" applyFill="1" applyBorder="1" applyAlignment="1">
      <alignment horizontal="left"/>
    </xf>
    <xf numFmtId="167" fontId="6" fillId="15" borderId="3" xfId="3" applyNumberFormat="1" applyFont="1" applyFill="1" applyBorder="1" applyAlignment="1">
      <alignment horizontal="left"/>
    </xf>
    <xf numFmtId="0" fontId="8" fillId="12" borderId="3" xfId="0" applyFont="1" applyFill="1" applyBorder="1"/>
    <xf numFmtId="167" fontId="8" fillId="12" borderId="3" xfId="3" applyNumberFormat="1" applyFont="1" applyFill="1" applyBorder="1"/>
    <xf numFmtId="168" fontId="8" fillId="12" borderId="3" xfId="4" applyNumberFormat="1" applyFont="1" applyFill="1" applyBorder="1"/>
    <xf numFmtId="167" fontId="6" fillId="17" borderId="3" xfId="3" applyNumberFormat="1" applyFont="1" applyFill="1" applyBorder="1"/>
    <xf numFmtId="0" fontId="6" fillId="18" borderId="3" xfId="0" applyFont="1" applyFill="1" applyBorder="1"/>
    <xf numFmtId="167" fontId="6" fillId="18" borderId="3" xfId="3" applyNumberFormat="1" applyFont="1" applyFill="1" applyBorder="1"/>
    <xf numFmtId="167" fontId="0" fillId="11" borderId="13" xfId="3" applyNumberFormat="1" applyFont="1" applyFill="1" applyBorder="1" applyAlignment="1"/>
    <xf numFmtId="167" fontId="0" fillId="11" borderId="10" xfId="3" applyNumberFormat="1" applyFont="1" applyFill="1" applyBorder="1" applyAlignment="1"/>
    <xf numFmtId="167" fontId="0" fillId="11" borderId="2" xfId="3" applyNumberFormat="1" applyFont="1" applyFill="1" applyBorder="1" applyAlignment="1"/>
    <xf numFmtId="167" fontId="0" fillId="11" borderId="0" xfId="3" applyNumberFormat="1" applyFont="1" applyFill="1" applyBorder="1" applyAlignment="1"/>
    <xf numFmtId="167" fontId="0" fillId="11" borderId="12" xfId="3" applyNumberFormat="1" applyFont="1" applyFill="1" applyBorder="1" applyAlignment="1"/>
    <xf numFmtId="167" fontId="0" fillId="11" borderId="4" xfId="3" applyNumberFormat="1" applyFont="1" applyFill="1" applyBorder="1" applyAlignment="1"/>
    <xf numFmtId="167" fontId="0" fillId="11" borderId="13" xfId="3" applyNumberFormat="1" applyFont="1" applyFill="1" applyBorder="1" applyAlignment="1">
      <alignment horizontal="center"/>
    </xf>
    <xf numFmtId="167" fontId="0" fillId="11" borderId="10" xfId="3" applyNumberFormat="1" applyFont="1" applyFill="1" applyBorder="1" applyAlignment="1">
      <alignment horizontal="center"/>
    </xf>
    <xf numFmtId="167" fontId="0" fillId="11" borderId="11" xfId="3" applyNumberFormat="1" applyFont="1" applyFill="1" applyBorder="1" applyAlignment="1">
      <alignment horizontal="center"/>
    </xf>
    <xf numFmtId="167" fontId="0" fillId="11" borderId="2" xfId="3" applyNumberFormat="1" applyFont="1" applyFill="1" applyBorder="1" applyAlignment="1">
      <alignment horizontal="center"/>
    </xf>
    <xf numFmtId="167" fontId="0" fillId="11" borderId="0" xfId="3" applyNumberFormat="1" applyFont="1" applyFill="1" applyBorder="1" applyAlignment="1">
      <alignment horizontal="center"/>
    </xf>
    <xf numFmtId="167" fontId="0" fillId="11" borderId="1" xfId="3" applyNumberFormat="1" applyFont="1" applyFill="1" applyBorder="1" applyAlignment="1">
      <alignment horizontal="center"/>
    </xf>
    <xf numFmtId="164" fontId="0" fillId="0" borderId="0" xfId="0" applyNumberFormat="1"/>
    <xf numFmtId="0" fontId="6" fillId="7" borderId="3" xfId="0" applyFont="1" applyFill="1" applyBorder="1"/>
    <xf numFmtId="167" fontId="6" fillId="7" borderId="3" xfId="3" applyNumberFormat="1" applyFont="1" applyFill="1" applyBorder="1"/>
    <xf numFmtId="0" fontId="6" fillId="10" borderId="3" xfId="0" applyFont="1" applyFill="1" applyBorder="1"/>
    <xf numFmtId="167" fontId="6" fillId="10" borderId="3" xfId="3" applyNumberFormat="1" applyFont="1" applyFill="1" applyBorder="1"/>
    <xf numFmtId="0" fontId="8" fillId="20" borderId="3" xfId="0" applyFont="1" applyFill="1" applyBorder="1"/>
    <xf numFmtId="167" fontId="8" fillId="20" borderId="3" xfId="3" applyNumberFormat="1" applyFont="1" applyFill="1" applyBorder="1"/>
    <xf numFmtId="167" fontId="8" fillId="21" borderId="3" xfId="3" applyNumberFormat="1" applyFont="1" applyFill="1" applyBorder="1"/>
    <xf numFmtId="167" fontId="6" fillId="17" borderId="3" xfId="3" applyNumberFormat="1" applyFont="1" applyFill="1" applyBorder="1" applyAlignment="1">
      <alignment horizontal="left"/>
    </xf>
    <xf numFmtId="167" fontId="6" fillId="18" borderId="3" xfId="0" applyNumberFormat="1" applyFont="1" applyFill="1" applyBorder="1"/>
    <xf numFmtId="168" fontId="8" fillId="20" borderId="3" xfId="4" applyNumberFormat="1" applyFont="1" applyFill="1" applyBorder="1"/>
    <xf numFmtId="168" fontId="6" fillId="18" borderId="3" xfId="4" applyNumberFormat="1" applyFont="1" applyFill="1" applyBorder="1"/>
    <xf numFmtId="0" fontId="8" fillId="14" borderId="3" xfId="0" applyFont="1" applyFill="1" applyBorder="1"/>
    <xf numFmtId="0" fontId="8" fillId="23" borderId="0" xfId="0" applyFont="1" applyFill="1"/>
    <xf numFmtId="167" fontId="8" fillId="23" borderId="0" xfId="3" applyNumberFormat="1" applyFont="1" applyFill="1"/>
    <xf numFmtId="167" fontId="6" fillId="24" borderId="3" xfId="3" applyNumberFormat="1" applyFont="1" applyFill="1" applyBorder="1"/>
    <xf numFmtId="167" fontId="8" fillId="12" borderId="3" xfId="3" applyNumberFormat="1" applyFont="1" applyFill="1" applyBorder="1" applyAlignment="1">
      <alignment horizontal="left" vertical="top"/>
    </xf>
    <xf numFmtId="9" fontId="6" fillId="24" borderId="3" xfId="4" applyFont="1" applyFill="1" applyBorder="1"/>
    <xf numFmtId="0" fontId="6" fillId="11" borderId="0" xfId="0" applyFont="1" applyFill="1"/>
    <xf numFmtId="0" fontId="6" fillId="6" borderId="3" xfId="0" applyFont="1" applyFill="1" applyBorder="1"/>
    <xf numFmtId="167" fontId="6" fillId="6" borderId="3" xfId="3" applyNumberFormat="1" applyFont="1" applyFill="1" applyBorder="1"/>
    <xf numFmtId="167" fontId="8" fillId="25" borderId="3" xfId="3" applyNumberFormat="1" applyFont="1" applyFill="1" applyBorder="1" applyAlignment="1">
      <alignment horizontal="left" vertical="top"/>
    </xf>
    <xf numFmtId="167" fontId="8" fillId="25" borderId="3" xfId="3" applyNumberFormat="1" applyFont="1" applyFill="1" applyBorder="1"/>
    <xf numFmtId="167" fontId="6" fillId="26" borderId="3" xfId="3" applyNumberFormat="1" applyFont="1" applyFill="1" applyBorder="1"/>
    <xf numFmtId="167" fontId="6" fillId="27" borderId="3" xfId="3" applyNumberFormat="1" applyFont="1" applyFill="1" applyBorder="1"/>
    <xf numFmtId="9" fontId="6" fillId="11" borderId="3" xfId="4" applyFont="1" applyFill="1" applyBorder="1"/>
    <xf numFmtId="167" fontId="6" fillId="28" borderId="3" xfId="3" applyNumberFormat="1" applyFont="1" applyFill="1" applyBorder="1" applyAlignment="1">
      <alignment horizontal="left" vertical="top"/>
    </xf>
    <xf numFmtId="167" fontId="6" fillId="28" borderId="3" xfId="3" applyNumberFormat="1" applyFont="1" applyFill="1" applyBorder="1"/>
    <xf numFmtId="167" fontId="6" fillId="29" borderId="3" xfId="3" applyNumberFormat="1" applyFont="1" applyFill="1" applyBorder="1"/>
    <xf numFmtId="3" fontId="2" fillId="3" borderId="12" xfId="1" applyNumberFormat="1" applyFont="1" applyFill="1" applyBorder="1"/>
    <xf numFmtId="3" fontId="2" fillId="5" borderId="2" xfId="1" applyNumberFormat="1" applyFont="1" applyFill="1" applyBorder="1" applyAlignment="1">
      <alignment horizontal="left"/>
    </xf>
    <xf numFmtId="3" fontId="2" fillId="5" borderId="2" xfId="1" applyNumberFormat="1" applyFont="1" applyFill="1" applyBorder="1"/>
    <xf numFmtId="14" fontId="2" fillId="5" borderId="12" xfId="1" applyNumberFormat="1" applyFont="1" applyFill="1" applyBorder="1" applyAlignment="1">
      <alignment horizontal="left" wrapText="1"/>
    </xf>
    <xf numFmtId="3" fontId="2" fillId="2" borderId="2" xfId="1" applyNumberFormat="1" applyFont="1" applyFill="1" applyBorder="1" applyAlignment="1">
      <alignment horizontal="left"/>
    </xf>
    <xf numFmtId="0" fontId="5" fillId="0" borderId="0" xfId="0" applyFont="1"/>
    <xf numFmtId="0" fontId="10" fillId="9" borderId="0" xfId="0" applyFont="1" applyFill="1"/>
    <xf numFmtId="164" fontId="0" fillId="8" borderId="0" xfId="0" applyNumberFormat="1" applyFill="1"/>
    <xf numFmtId="164" fontId="5" fillId="8" borderId="0" xfId="0" applyNumberFormat="1" applyFont="1" applyFill="1"/>
    <xf numFmtId="164" fontId="5" fillId="30" borderId="0" xfId="0" applyNumberFormat="1" applyFont="1" applyFill="1"/>
    <xf numFmtId="0" fontId="0" fillId="10" borderId="0" xfId="0" applyFill="1"/>
    <xf numFmtId="0" fontId="5" fillId="10" borderId="0" xfId="0" applyFont="1" applyFill="1"/>
    <xf numFmtId="0" fontId="0" fillId="3" borderId="0" xfId="0" applyFill="1"/>
    <xf numFmtId="3" fontId="9" fillId="19" borderId="0" xfId="2" applyNumberFormat="1" applyFont="1" applyFill="1" applyAlignment="1">
      <alignment horizontal="left"/>
    </xf>
    <xf numFmtId="0" fontId="0" fillId="5" borderId="0" xfId="0" applyFill="1"/>
    <xf numFmtId="3" fontId="6" fillId="19" borderId="0" xfId="2" applyNumberFormat="1" applyFont="1" applyFill="1" applyAlignment="1">
      <alignment horizontal="left"/>
    </xf>
    <xf numFmtId="164" fontId="0" fillId="16" borderId="0" xfId="0" applyNumberFormat="1" applyFill="1"/>
    <xf numFmtId="164" fontId="5" fillId="0" borderId="0" xfId="0" applyNumberFormat="1" applyFont="1"/>
    <xf numFmtId="2" fontId="0" fillId="9" borderId="0" xfId="0" applyNumberFormat="1" applyFill="1"/>
    <xf numFmtId="164" fontId="0" fillId="10" borderId="0" xfId="0" applyNumberFormat="1" applyFill="1"/>
    <xf numFmtId="164" fontId="5" fillId="10" borderId="0" xfId="0" applyNumberFormat="1" applyFont="1" applyFill="1"/>
    <xf numFmtId="165" fontId="0" fillId="16" borderId="0" xfId="0" applyNumberFormat="1" applyFill="1"/>
    <xf numFmtId="165" fontId="0" fillId="0" borderId="0" xfId="0" applyNumberFormat="1"/>
    <xf numFmtId="1" fontId="0" fillId="3" borderId="0" xfId="0" applyNumberFormat="1" applyFill="1"/>
    <xf numFmtId="166" fontId="0" fillId="16" borderId="0" xfId="0" applyNumberFormat="1" applyFill="1"/>
    <xf numFmtId="166" fontId="0" fillId="0" borderId="0" xfId="0" applyNumberFormat="1"/>
    <xf numFmtId="3" fontId="9" fillId="19" borderId="0" xfId="2" applyNumberFormat="1" applyFont="1" applyFill="1" applyAlignment="1">
      <alignment horizontal="right"/>
    </xf>
    <xf numFmtId="3" fontId="11" fillId="19" borderId="0" xfId="2" applyNumberFormat="1" applyFont="1" applyFill="1" applyAlignment="1">
      <alignment horizontal="right"/>
    </xf>
    <xf numFmtId="3" fontId="11" fillId="10" borderId="0" xfId="2" applyNumberFormat="1" applyFont="1" applyFill="1" applyAlignment="1">
      <alignment horizontal="right"/>
    </xf>
    <xf numFmtId="2" fontId="0" fillId="3" borderId="0" xfId="0" applyNumberFormat="1" applyFill="1"/>
    <xf numFmtId="0" fontId="12" fillId="31" borderId="0" xfId="0" applyFont="1" applyFill="1"/>
    <xf numFmtId="0" fontId="12" fillId="0" borderId="0" xfId="0" applyFont="1"/>
    <xf numFmtId="167" fontId="9" fillId="24" borderId="3" xfId="3" applyNumberFormat="1" applyFont="1" applyFill="1" applyBorder="1"/>
    <xf numFmtId="167" fontId="0" fillId="0" borderId="0" xfId="3" applyNumberFormat="1" applyFont="1"/>
    <xf numFmtId="167" fontId="6" fillId="22" borderId="3" xfId="3" applyNumberFormat="1" applyFont="1" applyFill="1" applyBorder="1" applyAlignment="1">
      <alignment horizontal="left"/>
    </xf>
    <xf numFmtId="0" fontId="8" fillId="32" borderId="3" xfId="0" applyFont="1" applyFill="1" applyBorder="1"/>
    <xf numFmtId="167" fontId="8" fillId="32" borderId="3" xfId="3" applyNumberFormat="1" applyFont="1" applyFill="1" applyBorder="1"/>
    <xf numFmtId="167" fontId="6" fillId="33" borderId="3" xfId="3" applyNumberFormat="1" applyFont="1" applyFill="1" applyBorder="1"/>
    <xf numFmtId="167" fontId="9" fillId="33" borderId="3" xfId="3" applyNumberFormat="1" applyFont="1" applyFill="1" applyBorder="1"/>
    <xf numFmtId="167" fontId="6" fillId="34" borderId="3" xfId="3" applyNumberFormat="1" applyFont="1" applyFill="1" applyBorder="1" applyAlignment="1">
      <alignment horizontal="left"/>
    </xf>
    <xf numFmtId="167" fontId="9" fillId="17" borderId="3" xfId="3" applyNumberFormat="1" applyFont="1" applyFill="1" applyBorder="1"/>
    <xf numFmtId="0" fontId="8" fillId="0" borderId="0" xfId="0" applyFont="1"/>
    <xf numFmtId="167" fontId="8" fillId="14" borderId="3" xfId="3" applyNumberFormat="1" applyFont="1" applyFill="1" applyBorder="1"/>
    <xf numFmtId="0" fontId="6" fillId="35" borderId="3" xfId="0" applyFont="1" applyFill="1" applyBorder="1" applyAlignment="1">
      <alignment horizontal="left"/>
    </xf>
    <xf numFmtId="167" fontId="6" fillId="35" borderId="3" xfId="3" applyNumberFormat="1" applyFont="1" applyFill="1" applyBorder="1"/>
    <xf numFmtId="167" fontId="9" fillId="34" borderId="3" xfId="3" applyNumberFormat="1" applyFont="1" applyFill="1" applyBorder="1"/>
    <xf numFmtId="167" fontId="9" fillId="36" borderId="3" xfId="3" applyNumberFormat="1" applyFont="1" applyFill="1" applyBorder="1"/>
    <xf numFmtId="167" fontId="6" fillId="36" borderId="3" xfId="3" applyNumberFormat="1" applyFont="1" applyFill="1" applyBorder="1"/>
    <xf numFmtId="0" fontId="6" fillId="7" borderId="3" xfId="0" applyFont="1" applyFill="1" applyBorder="1" applyAlignment="1">
      <alignment horizontal="left"/>
    </xf>
    <xf numFmtId="0" fontId="9" fillId="9" borderId="0" xfId="0" applyFont="1" applyFill="1"/>
    <xf numFmtId="169" fontId="0" fillId="0" borderId="0" xfId="0" applyNumberFormat="1" applyAlignment="1">
      <alignment horizontal="center"/>
    </xf>
    <xf numFmtId="9" fontId="0" fillId="0" borderId="0" xfId="4" applyFont="1"/>
    <xf numFmtId="9" fontId="0" fillId="0" borderId="0" xfId="4" applyFont="1" applyAlignment="1">
      <alignment horizontal="center"/>
    </xf>
    <xf numFmtId="9" fontId="0" fillId="0" borderId="0" xfId="0" applyNumberFormat="1"/>
    <xf numFmtId="3" fontId="8" fillId="14" borderId="3" xfId="4" applyNumberFormat="1" applyFont="1" applyFill="1" applyBorder="1"/>
    <xf numFmtId="3" fontId="6" fillId="22" borderId="3" xfId="4" applyNumberFormat="1" applyFont="1" applyFill="1" applyBorder="1"/>
    <xf numFmtId="3" fontId="0" fillId="10" borderId="0" xfId="0" applyNumberFormat="1" applyFill="1" applyAlignment="1">
      <alignment horizontal="center"/>
    </xf>
    <xf numFmtId="3" fontId="0" fillId="11" borderId="0" xfId="0" applyNumberFormat="1" applyFill="1" applyAlignment="1">
      <alignment horizontal="center"/>
    </xf>
    <xf numFmtId="164" fontId="0" fillId="11" borderId="0" xfId="0" applyNumberFormat="1" applyFill="1" applyAlignment="1">
      <alignment horizontal="center"/>
    </xf>
    <xf numFmtId="166" fontId="0" fillId="11" borderId="0" xfId="0" applyNumberFormat="1" applyFill="1" applyAlignment="1">
      <alignment horizontal="center"/>
    </xf>
    <xf numFmtId="3" fontId="9" fillId="11" borderId="0" xfId="2" applyNumberFormat="1" applyFont="1" applyFill="1" applyAlignment="1">
      <alignment horizontal="center"/>
    </xf>
    <xf numFmtId="3" fontId="11" fillId="11" borderId="0" xfId="2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11" borderId="0" xfId="3" applyNumberFormat="1" applyFont="1" applyFill="1" applyAlignment="1">
      <alignment horizontal="center"/>
    </xf>
    <xf numFmtId="3" fontId="0" fillId="0" borderId="0" xfId="3" applyNumberFormat="1" applyFont="1" applyAlignment="1">
      <alignment horizontal="center"/>
    </xf>
    <xf numFmtId="9" fontId="0" fillId="11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3" fontId="0" fillId="9" borderId="0" xfId="0" applyNumberFormat="1" applyFill="1"/>
    <xf numFmtId="3" fontId="0" fillId="9" borderId="0" xfId="0" applyNumberFormat="1" applyFill="1" applyAlignment="1">
      <alignment horizontal="center"/>
    </xf>
    <xf numFmtId="3" fontId="2" fillId="9" borderId="2" xfId="1" applyNumberFormat="1" applyFont="1" applyFill="1" applyBorder="1" applyAlignment="1">
      <alignment horizontal="left"/>
    </xf>
    <xf numFmtId="9" fontId="0" fillId="9" borderId="0" xfId="0" applyNumberFormat="1" applyFill="1" applyAlignment="1">
      <alignment horizontal="center"/>
    </xf>
    <xf numFmtId="14" fontId="2" fillId="9" borderId="12" xfId="1" applyNumberFormat="1" applyFont="1" applyFill="1" applyBorder="1" applyAlignment="1">
      <alignment horizontal="left" wrapText="1"/>
    </xf>
    <xf numFmtId="3" fontId="9" fillId="9" borderId="0" xfId="2" applyNumberFormat="1" applyFont="1" applyFill="1" applyAlignment="1">
      <alignment horizontal="left"/>
    </xf>
    <xf numFmtId="3" fontId="9" fillId="9" borderId="0" xfId="2" applyNumberFormat="1" applyFont="1" applyFill="1"/>
    <xf numFmtId="3" fontId="9" fillId="9" borderId="0" xfId="2" applyNumberFormat="1" applyFont="1" applyFill="1" applyAlignment="1">
      <alignment horizontal="right"/>
    </xf>
    <xf numFmtId="10" fontId="0" fillId="11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3" fontId="9" fillId="19" borderId="0" xfId="2" applyNumberFormat="1" applyFont="1" applyFill="1" applyAlignment="1">
      <alignment horizontal="center"/>
    </xf>
    <xf numFmtId="3" fontId="5" fillId="11" borderId="0" xfId="0" applyNumberFormat="1" applyFont="1" applyFill="1" applyAlignment="1">
      <alignment horizontal="center"/>
    </xf>
    <xf numFmtId="3" fontId="5" fillId="30" borderId="0" xfId="0" applyNumberFormat="1" applyFont="1" applyFill="1" applyAlignment="1">
      <alignment horizontal="center"/>
    </xf>
    <xf numFmtId="0" fontId="0" fillId="38" borderId="0" xfId="0" applyFill="1"/>
    <xf numFmtId="3" fontId="11" fillId="19" borderId="0" xfId="2" applyNumberFormat="1" applyFont="1" applyFill="1" applyAlignment="1">
      <alignment horizontal="center"/>
    </xf>
    <xf numFmtId="9" fontId="0" fillId="0" borderId="0" xfId="4" applyFont="1" applyFill="1" applyAlignment="1">
      <alignment horizontal="center"/>
    </xf>
    <xf numFmtId="3" fontId="6" fillId="10" borderId="0" xfId="2" applyNumberFormat="1" applyFont="1" applyFill="1" applyAlignment="1">
      <alignment horizontal="center"/>
    </xf>
    <xf numFmtId="3" fontId="0" fillId="5" borderId="0" xfId="0" applyNumberFormat="1" applyFill="1" applyAlignment="1">
      <alignment horizontal="center"/>
    </xf>
    <xf numFmtId="3" fontId="6" fillId="11" borderId="0" xfId="2" applyNumberFormat="1" applyFont="1" applyFill="1" applyAlignment="1">
      <alignment horizontal="center"/>
    </xf>
    <xf numFmtId="9" fontId="0" fillId="11" borderId="0" xfId="4" applyFon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3" fontId="0" fillId="8" borderId="0" xfId="0" applyNumberFormat="1" applyFill="1" applyAlignment="1">
      <alignment horizontal="center"/>
    </xf>
    <xf numFmtId="3" fontId="5" fillId="8" borderId="0" xfId="0" applyNumberFormat="1" applyFont="1" applyFill="1" applyAlignment="1">
      <alignment horizontal="center"/>
    </xf>
    <xf numFmtId="4" fontId="0" fillId="11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0" fontId="10" fillId="9" borderId="0" xfId="0" applyFont="1" applyFill="1" applyAlignment="1">
      <alignment horizontal="center"/>
    </xf>
    <xf numFmtId="3" fontId="0" fillId="0" borderId="0" xfId="0" applyNumberFormat="1"/>
    <xf numFmtId="170" fontId="0" fillId="0" borderId="0" xfId="0" applyNumberFormat="1"/>
    <xf numFmtId="167" fontId="0" fillId="11" borderId="8" xfId="3" applyNumberFormat="1" applyFont="1" applyFill="1" applyBorder="1" applyAlignment="1">
      <alignment horizontal="center"/>
    </xf>
    <xf numFmtId="167" fontId="0" fillId="11" borderId="9" xfId="3" applyNumberFormat="1" applyFont="1" applyFill="1" applyBorder="1" applyAlignment="1">
      <alignment horizontal="center"/>
    </xf>
    <xf numFmtId="167" fontId="0" fillId="11" borderId="6" xfId="3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/>
    </xf>
  </cellXfs>
  <cellStyles count="60">
    <cellStyle name="AF Column - IBM Cognos" xfId="5" xr:uid="{00000000-0005-0000-0000-000000000000}"/>
    <cellStyle name="AF Data - IBM Cognos" xfId="6" xr:uid="{00000000-0005-0000-0000-000001000000}"/>
    <cellStyle name="AF Data 0 - IBM Cognos" xfId="7" xr:uid="{00000000-0005-0000-0000-000002000000}"/>
    <cellStyle name="AF Data 1 - IBM Cognos" xfId="8" xr:uid="{00000000-0005-0000-0000-000003000000}"/>
    <cellStyle name="AF Data 2 - IBM Cognos" xfId="9" xr:uid="{00000000-0005-0000-0000-000004000000}"/>
    <cellStyle name="AF Data 3 - IBM Cognos" xfId="10" xr:uid="{00000000-0005-0000-0000-000005000000}"/>
    <cellStyle name="AF Data 4 - IBM Cognos" xfId="11" xr:uid="{00000000-0005-0000-0000-000006000000}"/>
    <cellStyle name="AF Data 5 - IBM Cognos" xfId="12" xr:uid="{00000000-0005-0000-0000-000007000000}"/>
    <cellStyle name="AF Data Leaf - IBM Cognos" xfId="13" xr:uid="{00000000-0005-0000-0000-000008000000}"/>
    <cellStyle name="AF Header - IBM Cognos" xfId="14" xr:uid="{00000000-0005-0000-0000-000009000000}"/>
    <cellStyle name="AF Header 0 - IBM Cognos" xfId="15" xr:uid="{00000000-0005-0000-0000-00000A000000}"/>
    <cellStyle name="AF Header 1 - IBM Cognos" xfId="16" xr:uid="{00000000-0005-0000-0000-00000B000000}"/>
    <cellStyle name="AF Header 2 - IBM Cognos" xfId="17" xr:uid="{00000000-0005-0000-0000-00000C000000}"/>
    <cellStyle name="AF Header 3 - IBM Cognos" xfId="18" xr:uid="{00000000-0005-0000-0000-00000D000000}"/>
    <cellStyle name="AF Header 4 - IBM Cognos" xfId="19" xr:uid="{00000000-0005-0000-0000-00000E000000}"/>
    <cellStyle name="AF Header 5 - IBM Cognos" xfId="20" xr:uid="{00000000-0005-0000-0000-00000F000000}"/>
    <cellStyle name="AF Header Leaf - IBM Cognos" xfId="21" xr:uid="{00000000-0005-0000-0000-000010000000}"/>
    <cellStyle name="AF Row - IBM Cognos" xfId="22" xr:uid="{00000000-0005-0000-0000-000011000000}"/>
    <cellStyle name="AF Row 0 - IBM Cognos" xfId="23" xr:uid="{00000000-0005-0000-0000-000012000000}"/>
    <cellStyle name="AF Row 1 - IBM Cognos" xfId="24" xr:uid="{00000000-0005-0000-0000-000013000000}"/>
    <cellStyle name="AF Row 2 - IBM Cognos" xfId="25" xr:uid="{00000000-0005-0000-0000-000014000000}"/>
    <cellStyle name="AF Row 3 - IBM Cognos" xfId="26" xr:uid="{00000000-0005-0000-0000-000015000000}"/>
    <cellStyle name="AF Row 4 - IBM Cognos" xfId="27" xr:uid="{00000000-0005-0000-0000-000016000000}"/>
    <cellStyle name="AF Row 5 - IBM Cognos" xfId="28" xr:uid="{00000000-0005-0000-0000-000017000000}"/>
    <cellStyle name="AF Row Leaf - IBM Cognos" xfId="29" xr:uid="{00000000-0005-0000-0000-000018000000}"/>
    <cellStyle name="AF Subnm - IBM Cognos" xfId="30" xr:uid="{00000000-0005-0000-0000-000019000000}"/>
    <cellStyle name="AF Title - IBM Cognos" xfId="31" xr:uid="{00000000-0005-0000-0000-00001A000000}"/>
    <cellStyle name="Calculated Column - IBM Cognos" xfId="32" xr:uid="{00000000-0005-0000-0000-00001B000000}"/>
    <cellStyle name="Calculated Column Name - IBM Cognos" xfId="33" xr:uid="{00000000-0005-0000-0000-00001C000000}"/>
    <cellStyle name="Calculated Row - IBM Cognos" xfId="34" xr:uid="{00000000-0005-0000-0000-00001D000000}"/>
    <cellStyle name="Calculated Row Name - IBM Cognos" xfId="35" xr:uid="{00000000-0005-0000-0000-00001E000000}"/>
    <cellStyle name="Column Name - IBM Cognos" xfId="36" xr:uid="{00000000-0005-0000-0000-00001F000000}"/>
    <cellStyle name="Column Template - IBM Cognos" xfId="37" xr:uid="{00000000-0005-0000-0000-000020000000}"/>
    <cellStyle name="Comma" xfId="3" builtinId="3"/>
    <cellStyle name="Differs From Base - IBM Cognos" xfId="38" xr:uid="{00000000-0005-0000-0000-000022000000}"/>
    <cellStyle name="Edit - IBM Cognos" xfId="39" xr:uid="{00000000-0005-0000-0000-000023000000}"/>
    <cellStyle name="Formula - IBM Cognos" xfId="40" xr:uid="{00000000-0005-0000-0000-000024000000}"/>
    <cellStyle name="Group Name - IBM Cognos" xfId="41" xr:uid="{00000000-0005-0000-0000-000025000000}"/>
    <cellStyle name="Hold Values - IBM Cognos" xfId="42" xr:uid="{00000000-0005-0000-0000-000026000000}"/>
    <cellStyle name="List Name - IBM Cognos" xfId="43" xr:uid="{00000000-0005-0000-0000-000027000000}"/>
    <cellStyle name="Locked - IBM Cognos" xfId="44" xr:uid="{00000000-0005-0000-0000-000028000000}"/>
    <cellStyle name="Measure - IBM Cognos" xfId="45" xr:uid="{00000000-0005-0000-0000-000029000000}"/>
    <cellStyle name="Measure Header - IBM Cognos" xfId="46" xr:uid="{00000000-0005-0000-0000-00002A000000}"/>
    <cellStyle name="Measure Name - IBM Cognos" xfId="47" xr:uid="{00000000-0005-0000-0000-00002B000000}"/>
    <cellStyle name="Measure Summary - IBM Cognos" xfId="48" xr:uid="{00000000-0005-0000-0000-00002C000000}"/>
    <cellStyle name="Measure Summary TM1 - IBM Cognos" xfId="49" xr:uid="{00000000-0005-0000-0000-00002D000000}"/>
    <cellStyle name="Measure Template - IBM Cognos" xfId="50" xr:uid="{00000000-0005-0000-0000-00002E000000}"/>
    <cellStyle name="More - IBM Cognos" xfId="51" xr:uid="{00000000-0005-0000-0000-00002F000000}"/>
    <cellStyle name="N.INI / SAP CONFIG Profile Technics 2_x000d__x000a__x000d__x000a_;REM PRINTERS DEFENITION / SETUP" xfId="1" xr:uid="{00000000-0005-0000-0000-000030000000}"/>
    <cellStyle name="N.INI / SAP CONFIG Profile Technics 2_x000d__x000a__x000d__x000a_;REM PRINTERS DEFENITION / SETUP 2" xfId="2" xr:uid="{00000000-0005-0000-0000-000031000000}"/>
    <cellStyle name="Normal" xfId="0" builtinId="0" customBuiltin="1"/>
    <cellStyle name="Pending Change - IBM Cognos" xfId="52" xr:uid="{00000000-0005-0000-0000-000033000000}"/>
    <cellStyle name="Percent" xfId="4" builtinId="5"/>
    <cellStyle name="Row Name - IBM Cognos" xfId="53" xr:uid="{00000000-0005-0000-0000-000035000000}"/>
    <cellStyle name="Row Template - IBM Cognos" xfId="54" xr:uid="{00000000-0005-0000-0000-000036000000}"/>
    <cellStyle name="Summary Column Name - IBM Cognos" xfId="55" xr:uid="{00000000-0005-0000-0000-000037000000}"/>
    <cellStyle name="Summary Column Name TM1 - IBM Cognos" xfId="56" xr:uid="{00000000-0005-0000-0000-000038000000}"/>
    <cellStyle name="Summary Row Name - IBM Cognos" xfId="57" xr:uid="{00000000-0005-0000-0000-000039000000}"/>
    <cellStyle name="Summary Row Name TM1 - IBM Cognos" xfId="58" xr:uid="{00000000-0005-0000-0000-00003A000000}"/>
    <cellStyle name="Unsaved Change - IBM Cognos" xfId="59" xr:uid="{00000000-0005-0000-0000-00003B000000}"/>
  </cellStyles>
  <dxfs count="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 DC In</a:t>
            </a:r>
            <a:r>
              <a:rPr lang="en-GB" b="1" baseline="0"/>
              <a:t> to Stock (Queue Corrected)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4965651890353782"/>
          <c:y val="0.17171296296296296"/>
          <c:w val="0.82402001033688543"/>
          <c:h val="0.6942208223972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Inflow!$A$17</c:f>
              <c:strCache>
                <c:ptCount val="1"/>
                <c:pt idx="0">
                  <c:v>Total DC In to Stock (Queue Corrected)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Overview_Report!$C$5:$AH$5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'Act Data Set'!$C$9:$V$9</c:f>
              <c:numCache>
                <c:formatCode>#,##0;\(#,##0\)</c:formatCode>
                <c:ptCount val="20"/>
                <c:pt idx="0">
                  <c:v>17655.457999999999</c:v>
                </c:pt>
                <c:pt idx="1">
                  <c:v>9147.0709999999981</c:v>
                </c:pt>
                <c:pt idx="2">
                  <c:v>10503.363999999998</c:v>
                </c:pt>
                <c:pt idx="3">
                  <c:v>17607.023000000001</c:v>
                </c:pt>
                <c:pt idx="4">
                  <c:v>14166.209000000001</c:v>
                </c:pt>
                <c:pt idx="5">
                  <c:v>11396.325000000001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6-43FD-8F36-2C3BD38CCE2C}"/>
            </c:ext>
          </c:extLst>
        </c:ser>
        <c:ser>
          <c:idx val="1"/>
          <c:order val="1"/>
          <c:tx>
            <c:strRef>
              <c:f>Inflow!$A$18</c:f>
              <c:strCache>
                <c:ptCount val="1"/>
                <c:pt idx="0">
                  <c:v> Total DC In to Stock (Queue Corrected) Forecast </c:v>
                </c:pt>
              </c:strCache>
            </c:strRef>
          </c:tx>
          <c:spPr>
            <a:pattFill prst="pct25">
              <a:fgClr>
                <a:schemeClr val="accent2">
                  <a:lumMod val="50000"/>
                </a:schemeClr>
              </a:fgClr>
              <a:bgClr>
                <a:schemeClr val="bg2"/>
              </a:bgClr>
            </a:pattFill>
            <a:ln>
              <a:noFill/>
              <a:prstDash val="dash"/>
            </a:ln>
            <a:effectLst/>
          </c:spPr>
          <c:invertIfNegative val="0"/>
          <c:cat>
            <c:strRef>
              <c:f>Overview_Report!$C$5:$AH$5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Inflow!$B$18:$AG$18</c:f>
              <c:numCache>
                <c:formatCode>_-* #,##0_-;\-* #,##0_-;_-* "-"??_-;_-@_-</c:formatCode>
                <c:ptCount val="32"/>
                <c:pt idx="6">
                  <c:v>10691.360499999997</c:v>
                </c:pt>
                <c:pt idx="7">
                  <c:v>12591.411881412061</c:v>
                </c:pt>
                <c:pt idx="8">
                  <c:v>9816.422723261705</c:v>
                </c:pt>
                <c:pt idx="9">
                  <c:v>11558.830982508942</c:v>
                </c:pt>
                <c:pt idx="10">
                  <c:v>12722.086804289949</c:v>
                </c:pt>
                <c:pt idx="11">
                  <c:v>12452.173212222573</c:v>
                </c:pt>
                <c:pt idx="12">
                  <c:v>10719.757460599054</c:v>
                </c:pt>
                <c:pt idx="13">
                  <c:v>13246.090074756803</c:v>
                </c:pt>
                <c:pt idx="14">
                  <c:v>11270.433384224656</c:v>
                </c:pt>
                <c:pt idx="15">
                  <c:v>13347.992601662299</c:v>
                </c:pt>
                <c:pt idx="16">
                  <c:v>9557.7071572705609</c:v>
                </c:pt>
                <c:pt idx="17">
                  <c:v>9005.6084723712429</c:v>
                </c:pt>
                <c:pt idx="18">
                  <c:v>10459.950423392678</c:v>
                </c:pt>
                <c:pt idx="19">
                  <c:v>12415.626405312536</c:v>
                </c:pt>
                <c:pt idx="20">
                  <c:v>12021.141149145486</c:v>
                </c:pt>
                <c:pt idx="21">
                  <c:v>12413.763077752263</c:v>
                </c:pt>
                <c:pt idx="22">
                  <c:v>12822.596300086117</c:v>
                </c:pt>
                <c:pt idx="23">
                  <c:v>13275.147704868352</c:v>
                </c:pt>
                <c:pt idx="24">
                  <c:v>11291.12443474803</c:v>
                </c:pt>
                <c:pt idx="25">
                  <c:v>10589.557039204816</c:v>
                </c:pt>
                <c:pt idx="26">
                  <c:v>11731.237255467207</c:v>
                </c:pt>
                <c:pt idx="27">
                  <c:v>14005.410121438706</c:v>
                </c:pt>
                <c:pt idx="28">
                  <c:v>13519.746505772275</c:v>
                </c:pt>
                <c:pt idx="29">
                  <c:v>12613.55309153901</c:v>
                </c:pt>
                <c:pt idx="30">
                  <c:v>13414.413512573394</c:v>
                </c:pt>
                <c:pt idx="31">
                  <c:v>12304.597055613463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6-43FD-8F36-2C3BD38CC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89252976"/>
        <c:axId val="889251408"/>
      </c:barChart>
      <c:catAx>
        <c:axId val="88925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9251408"/>
        <c:crosses val="autoZero"/>
        <c:auto val="1"/>
        <c:lblAlgn val="ctr"/>
        <c:lblOffset val="100"/>
        <c:noMultiLvlLbl val="0"/>
      </c:catAx>
      <c:valAx>
        <c:axId val="8892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925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3937693251909312E-2"/>
          <c:y val="0.29642869641294839"/>
          <c:w val="9.6864140024048098E-2"/>
          <c:h val="0.36250107372942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</a:t>
            </a:r>
            <a:r>
              <a:rPr lang="en-GB" b="1" baseline="0"/>
              <a:t> Transit 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5137613706201231"/>
          <c:y val="0.17171296296296296"/>
          <c:w val="0.82188173540929066"/>
          <c:h val="0.6942208223972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Inflow!$A$37</c:f>
              <c:strCache>
                <c:ptCount val="1"/>
                <c:pt idx="0">
                  <c:v>Total Transit 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Overview_Report!$C$5:$AH$5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'Act Data Set'!$C$10:$V$10</c:f>
              <c:numCache>
                <c:formatCode>#,##0;\(#,##0\)</c:formatCode>
                <c:ptCount val="20"/>
                <c:pt idx="0">
                  <c:v>6489.9530000000004</c:v>
                </c:pt>
                <c:pt idx="1">
                  <c:v>8016.13</c:v>
                </c:pt>
                <c:pt idx="2">
                  <c:v>8413.51</c:v>
                </c:pt>
                <c:pt idx="3">
                  <c:v>7785.01</c:v>
                </c:pt>
                <c:pt idx="4">
                  <c:v>8503.8339999999989</c:v>
                </c:pt>
                <c:pt idx="5">
                  <c:v>7333.4699999999993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D-4D41-A61E-834390631186}"/>
            </c:ext>
          </c:extLst>
        </c:ser>
        <c:ser>
          <c:idx val="1"/>
          <c:order val="1"/>
          <c:tx>
            <c:strRef>
              <c:f>Inflow!$A$38</c:f>
              <c:strCache>
                <c:ptCount val="1"/>
                <c:pt idx="0">
                  <c:v> Total Transit IN Forecast </c:v>
                </c:pt>
              </c:strCache>
            </c:strRef>
          </c:tx>
          <c:spPr>
            <a:pattFill prst="pct30">
              <a:fgClr>
                <a:schemeClr val="accent2">
                  <a:lumMod val="60000"/>
                  <a:lumOff val="4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  <a:prstDash val="dash"/>
            </a:ln>
            <a:effectLst/>
          </c:spPr>
          <c:invertIfNegative val="0"/>
          <c:cat>
            <c:strRef>
              <c:f>Overview_Report!$C$5:$AH$5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'FC1 Data Set'!$C$10:$AH$10</c:f>
              <c:numCache>
                <c:formatCode>#,##0;\(#,##0\)</c:formatCode>
                <c:ptCount val="32"/>
                <c:pt idx="6">
                  <c:v>11180.796999999999</c:v>
                </c:pt>
                <c:pt idx="7">
                  <c:v>8371.8130000000001</c:v>
                </c:pt>
                <c:pt idx="8">
                  <c:v>10117.606000000002</c:v>
                </c:pt>
                <c:pt idx="9">
                  <c:v>8669.8359999999993</c:v>
                </c:pt>
                <c:pt idx="10">
                  <c:v>8260.0560000000005</c:v>
                </c:pt>
                <c:pt idx="11">
                  <c:v>9513.43</c:v>
                </c:pt>
                <c:pt idx="12">
                  <c:v>10133.839999999998</c:v>
                </c:pt>
                <c:pt idx="13">
                  <c:v>9543.5000000000018</c:v>
                </c:pt>
                <c:pt idx="14">
                  <c:v>9795</c:v>
                </c:pt>
                <c:pt idx="15">
                  <c:v>9766.619999999999</c:v>
                </c:pt>
                <c:pt idx="16">
                  <c:v>9361.33</c:v>
                </c:pt>
                <c:pt idx="17">
                  <c:v>9499.2000000000007</c:v>
                </c:pt>
                <c:pt idx="18">
                  <c:v>9012.2999999999975</c:v>
                </c:pt>
                <c:pt idx="19">
                  <c:v>7789.93</c:v>
                </c:pt>
                <c:pt idx="20">
                  <c:v>7887.95</c:v>
                </c:pt>
                <c:pt idx="21">
                  <c:v>9269.7100000000009</c:v>
                </c:pt>
                <c:pt idx="22">
                  <c:v>9218.4399999999987</c:v>
                </c:pt>
                <c:pt idx="23">
                  <c:v>9113.91</c:v>
                </c:pt>
                <c:pt idx="24">
                  <c:v>5638.4599999999991</c:v>
                </c:pt>
                <c:pt idx="25">
                  <c:v>6800.3499999999995</c:v>
                </c:pt>
                <c:pt idx="26">
                  <c:v>8111.1399999999985</c:v>
                </c:pt>
                <c:pt idx="27">
                  <c:v>8464.4600000000009</c:v>
                </c:pt>
                <c:pt idx="28">
                  <c:v>8640.17</c:v>
                </c:pt>
                <c:pt idx="29">
                  <c:v>8750.5199999999986</c:v>
                </c:pt>
                <c:pt idx="30">
                  <c:v>9396.1299999999992</c:v>
                </c:pt>
                <c:pt idx="31">
                  <c:v>8209.9900000000016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D-4D41-A61E-834390631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100"/>
        <c:axId val="526760512"/>
        <c:axId val="526758944"/>
      </c:barChart>
      <c:catAx>
        <c:axId val="52676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6758944"/>
        <c:crosses val="autoZero"/>
        <c:auto val="1"/>
        <c:lblAlgn val="ctr"/>
        <c:lblOffset val="100"/>
        <c:noMultiLvlLbl val="0"/>
      </c:catAx>
      <c:valAx>
        <c:axId val="5267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676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3183355069803481E-2"/>
          <c:y val="0.38420647419072618"/>
          <c:w val="7.6329905959419145E-2"/>
          <c:h val="0.24229921259842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Total Inflow (Queue Corrected)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955441311807194"/>
          <c:y val="0.13534931997136723"/>
          <c:w val="0.82567550698403569"/>
          <c:h val="0.6942208223972004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Inflow!$A$60</c:f>
              <c:strCache>
                <c:ptCount val="1"/>
                <c:pt idx="0">
                  <c:v> Total Transit IN Forecast </c:v>
                </c:pt>
              </c:strCache>
            </c:strRef>
          </c:tx>
          <c:spPr>
            <a:pattFill prst="pct30">
              <a:fgClr>
                <a:schemeClr val="accent2">
                  <a:lumMod val="40000"/>
                  <a:lumOff val="6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Inflow!$B$56:$AG$56</c15:sqref>
                  </c15:fullRef>
                </c:ext>
              </c:extLst>
              <c:f>Inflow!$B$56:$AG$56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Inflow!$B$60:$AH$60</c15:sqref>
                  </c15:fullRef>
                </c:ext>
              </c:extLst>
              <c:f>Inflow!$B$60:$AG$60</c:f>
              <c:numCache>
                <c:formatCode>_-* #,##0_-;\-* #,##0_-;_-* "-"??_-;_-@_-</c:formatCode>
                <c:ptCount val="32"/>
                <c:pt idx="6">
                  <c:v>11180.796999999999</c:v>
                </c:pt>
                <c:pt idx="7">
                  <c:v>8371.8130000000001</c:v>
                </c:pt>
                <c:pt idx="8">
                  <c:v>10117.606000000002</c:v>
                </c:pt>
                <c:pt idx="9">
                  <c:v>8669.8359999999993</c:v>
                </c:pt>
                <c:pt idx="10">
                  <c:v>8260.0560000000005</c:v>
                </c:pt>
                <c:pt idx="11">
                  <c:v>9513.43</c:v>
                </c:pt>
                <c:pt idx="12">
                  <c:v>10133.839999999998</c:v>
                </c:pt>
                <c:pt idx="13">
                  <c:v>9543.5000000000018</c:v>
                </c:pt>
                <c:pt idx="14">
                  <c:v>9795</c:v>
                </c:pt>
                <c:pt idx="15">
                  <c:v>9766.619999999999</c:v>
                </c:pt>
                <c:pt idx="16">
                  <c:v>9361.33</c:v>
                </c:pt>
                <c:pt idx="17">
                  <c:v>9499.2000000000007</c:v>
                </c:pt>
                <c:pt idx="18">
                  <c:v>9012.2999999999975</c:v>
                </c:pt>
                <c:pt idx="19">
                  <c:v>7789.93</c:v>
                </c:pt>
                <c:pt idx="20">
                  <c:v>7887.95</c:v>
                </c:pt>
                <c:pt idx="21">
                  <c:v>9269.7100000000009</c:v>
                </c:pt>
                <c:pt idx="22">
                  <c:v>9218.4399999999987</c:v>
                </c:pt>
                <c:pt idx="23">
                  <c:v>9113.91</c:v>
                </c:pt>
                <c:pt idx="24">
                  <c:v>5638.4599999999991</c:v>
                </c:pt>
                <c:pt idx="25">
                  <c:v>6800.3499999999995</c:v>
                </c:pt>
                <c:pt idx="26">
                  <c:v>8111.1399999999985</c:v>
                </c:pt>
                <c:pt idx="27">
                  <c:v>8464.4600000000009</c:v>
                </c:pt>
                <c:pt idx="28">
                  <c:v>8640.17</c:v>
                </c:pt>
                <c:pt idx="29">
                  <c:v>8750.5199999999986</c:v>
                </c:pt>
                <c:pt idx="30">
                  <c:v>9396.1299999999992</c:v>
                </c:pt>
                <c:pt idx="31">
                  <c:v>8209.9900000000016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6-46D6-989D-62C0A3F81A81}"/>
            </c:ext>
          </c:extLst>
        </c:ser>
        <c:ser>
          <c:idx val="1"/>
          <c:order val="1"/>
          <c:tx>
            <c:strRef>
              <c:f>Inflow!$A$59</c:f>
              <c:strCache>
                <c:ptCount val="1"/>
                <c:pt idx="0">
                  <c:v> Total DC In to Stock (Queue Corrected) Forecast </c:v>
                </c:pt>
              </c:strCache>
            </c:strRef>
          </c:tx>
          <c:spPr>
            <a:pattFill prst="pct25">
              <a:fgClr>
                <a:schemeClr val="accent2">
                  <a:lumMod val="50000"/>
                </a:schemeClr>
              </a:fgClr>
              <a:bgClr>
                <a:schemeClr val="bg1">
                  <a:lumMod val="8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Inflow!$B$56:$AG$56</c15:sqref>
                  </c15:fullRef>
                </c:ext>
              </c:extLst>
              <c:f>Inflow!$B$56:$AG$56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Inflow!$B$59:$AH$59</c15:sqref>
                  </c15:fullRef>
                </c:ext>
              </c:extLst>
              <c:f>Inflow!$B$59:$AG$59</c:f>
              <c:numCache>
                <c:formatCode>_-* #,##0_-;\-* #,##0_-;_-* "-"??_-;_-@_-</c:formatCode>
                <c:ptCount val="32"/>
                <c:pt idx="6">
                  <c:v>10691.360499999997</c:v>
                </c:pt>
                <c:pt idx="7">
                  <c:v>12591.411881412061</c:v>
                </c:pt>
                <c:pt idx="8">
                  <c:v>9816.422723261705</c:v>
                </c:pt>
                <c:pt idx="9">
                  <c:v>11558.830982508942</c:v>
                </c:pt>
                <c:pt idx="10">
                  <c:v>12722.086804289949</c:v>
                </c:pt>
                <c:pt idx="11">
                  <c:v>12452.173212222573</c:v>
                </c:pt>
                <c:pt idx="12">
                  <c:v>10719.757460599054</c:v>
                </c:pt>
                <c:pt idx="13">
                  <c:v>13246.090074756803</c:v>
                </c:pt>
                <c:pt idx="14">
                  <c:v>11270.433384224656</c:v>
                </c:pt>
                <c:pt idx="15">
                  <c:v>13347.992601662299</c:v>
                </c:pt>
                <c:pt idx="16">
                  <c:v>9557.7071572705609</c:v>
                </c:pt>
                <c:pt idx="17">
                  <c:v>9005.6084723712429</c:v>
                </c:pt>
                <c:pt idx="18">
                  <c:v>10459.950423392678</c:v>
                </c:pt>
                <c:pt idx="19">
                  <c:v>12415.626405312536</c:v>
                </c:pt>
                <c:pt idx="20">
                  <c:v>12021.141149145486</c:v>
                </c:pt>
                <c:pt idx="21">
                  <c:v>12413.763077752263</c:v>
                </c:pt>
                <c:pt idx="22">
                  <c:v>12822.596300086117</c:v>
                </c:pt>
                <c:pt idx="23">
                  <c:v>13275.147704868352</c:v>
                </c:pt>
                <c:pt idx="24">
                  <c:v>11291.12443474803</c:v>
                </c:pt>
                <c:pt idx="25">
                  <c:v>10589.557039204816</c:v>
                </c:pt>
                <c:pt idx="26">
                  <c:v>11731.237255467207</c:v>
                </c:pt>
                <c:pt idx="27">
                  <c:v>14005.410121438706</c:v>
                </c:pt>
                <c:pt idx="28">
                  <c:v>13519.746505772275</c:v>
                </c:pt>
                <c:pt idx="29">
                  <c:v>12613.55309153901</c:v>
                </c:pt>
                <c:pt idx="30">
                  <c:v>13414.413512573394</c:v>
                </c:pt>
                <c:pt idx="31">
                  <c:v>12304.597055613463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A6-46D6-989D-62C0A3F81A81}"/>
            </c:ext>
          </c:extLst>
        </c:ser>
        <c:ser>
          <c:idx val="2"/>
          <c:order val="2"/>
          <c:tx>
            <c:strRef>
              <c:f>Inflow!$A$58</c:f>
              <c:strCache>
                <c:ptCount val="1"/>
                <c:pt idx="0">
                  <c:v>Total Transit IN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Inflow!$B$56:$AG$56</c15:sqref>
                  </c15:fullRef>
                </c:ext>
              </c:extLst>
              <c:f>Inflow!$B$56:$AG$56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Inflow!$B$58:$U$58</c15:sqref>
                  </c15:fullRef>
                </c:ext>
              </c:extLst>
              <c:f>Inflow!$B$58:$U$58</c:f>
              <c:numCache>
                <c:formatCode>_-* #,##0_-;\-* #,##0_-;_-* "-"??_-;_-@_-</c:formatCode>
                <c:ptCount val="20"/>
                <c:pt idx="0">
                  <c:v>6489.9530000000004</c:v>
                </c:pt>
                <c:pt idx="1">
                  <c:v>8016.13</c:v>
                </c:pt>
                <c:pt idx="2">
                  <c:v>8413.51</c:v>
                </c:pt>
                <c:pt idx="3">
                  <c:v>7785.01</c:v>
                </c:pt>
                <c:pt idx="4">
                  <c:v>8503.8339999999989</c:v>
                </c:pt>
                <c:pt idx="5">
                  <c:v>7333.4699999999993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6-46D6-989D-62C0A3F81A81}"/>
            </c:ext>
          </c:extLst>
        </c:ser>
        <c:ser>
          <c:idx val="0"/>
          <c:order val="3"/>
          <c:tx>
            <c:strRef>
              <c:f>Inflow!$A$57</c:f>
              <c:strCache>
                <c:ptCount val="1"/>
                <c:pt idx="0">
                  <c:v>Total DC In to Stock (Queue Corrected)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Inflow!$B$56:$AG$56</c15:sqref>
                  </c15:fullRef>
                </c:ext>
              </c:extLst>
              <c:f>Inflow!$B$56:$AG$56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Inflow!$B$57:$U$57</c15:sqref>
                  </c15:fullRef>
                </c:ext>
              </c:extLst>
              <c:f>Inflow!$B$57:$U$57</c:f>
              <c:numCache>
                <c:formatCode>_-* #,##0_-;\-* #,##0_-;_-* "-"??_-;_-@_-</c:formatCode>
                <c:ptCount val="20"/>
                <c:pt idx="0">
                  <c:v>17464.036</c:v>
                </c:pt>
                <c:pt idx="1">
                  <c:v>9095.2099999999991</c:v>
                </c:pt>
                <c:pt idx="2">
                  <c:v>10503.363999999998</c:v>
                </c:pt>
                <c:pt idx="3">
                  <c:v>17607.023000000001</c:v>
                </c:pt>
                <c:pt idx="4">
                  <c:v>14166.209000000001</c:v>
                </c:pt>
                <c:pt idx="5">
                  <c:v>11395.806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A6-46D6-989D-62C0A3F81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26756984"/>
        <c:axId val="526757376"/>
      </c:barChart>
      <c:catAx>
        <c:axId val="526756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6757376"/>
        <c:crosses val="autoZero"/>
        <c:auto val="1"/>
        <c:lblAlgn val="ctr"/>
        <c:lblOffset val="100"/>
        <c:noMultiLvlLbl val="0"/>
      </c:catAx>
      <c:valAx>
        <c:axId val="5267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675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9.5914901949865536E-4"/>
          <c:y val="0.34130988626421699"/>
          <c:w val="0.13735806129780714"/>
          <c:h val="0.397779877515310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Land Inflow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501398503530233"/>
          <c:y val="0.13534931997136723"/>
          <c:w val="0.82391919527918167"/>
          <c:h val="0.6942208223972004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Inflow!$A$82</c:f>
              <c:strCache>
                <c:ptCount val="1"/>
                <c:pt idx="0">
                  <c:v> Land Volume (Transit) Forecast </c:v>
                </c:pt>
              </c:strCache>
            </c:strRef>
          </c:tx>
          <c:spPr>
            <a:pattFill prst="pct30">
              <a:fgClr>
                <a:srgbClr val="92D05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Inflow!$B$78:$AH$78</c15:sqref>
                  </c15:fullRef>
                </c:ext>
              </c:extLst>
              <c:f>Inflow!$B$78:$AG$78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Inflow!$B$82:$AH$82</c15:sqref>
                  </c15:fullRef>
                </c:ext>
              </c:extLst>
              <c:f>Inflow!$B$82:$AG$82</c:f>
              <c:numCache>
                <c:formatCode>_-* #,##0_-;\-* #,##0_-;_-* "-"??_-;_-@_-</c:formatCode>
                <c:ptCount val="32"/>
                <c:pt idx="6">
                  <c:v>11180.796999999999</c:v>
                </c:pt>
                <c:pt idx="7">
                  <c:v>8371.8130000000001</c:v>
                </c:pt>
                <c:pt idx="8">
                  <c:v>10117.606000000002</c:v>
                </c:pt>
                <c:pt idx="9">
                  <c:v>8669.8359999999993</c:v>
                </c:pt>
                <c:pt idx="10">
                  <c:v>8260.0560000000005</c:v>
                </c:pt>
                <c:pt idx="11">
                  <c:v>9513.43</c:v>
                </c:pt>
                <c:pt idx="12">
                  <c:v>10133.839999999998</c:v>
                </c:pt>
                <c:pt idx="13">
                  <c:v>9543.5000000000018</c:v>
                </c:pt>
                <c:pt idx="14">
                  <c:v>9795</c:v>
                </c:pt>
                <c:pt idx="15">
                  <c:v>9766.619999999999</c:v>
                </c:pt>
                <c:pt idx="16">
                  <c:v>9361.33</c:v>
                </c:pt>
                <c:pt idx="17">
                  <c:v>9499.2000000000007</c:v>
                </c:pt>
                <c:pt idx="18">
                  <c:v>9012.2999999999975</c:v>
                </c:pt>
                <c:pt idx="19">
                  <c:v>7789.93</c:v>
                </c:pt>
                <c:pt idx="20">
                  <c:v>7887.95</c:v>
                </c:pt>
                <c:pt idx="21">
                  <c:v>9269.7100000000009</c:v>
                </c:pt>
                <c:pt idx="22">
                  <c:v>9218.4399999999987</c:v>
                </c:pt>
                <c:pt idx="23">
                  <c:v>9113.91</c:v>
                </c:pt>
                <c:pt idx="24">
                  <c:v>5638.4599999999991</c:v>
                </c:pt>
                <c:pt idx="25">
                  <c:v>6800.3499999999995</c:v>
                </c:pt>
                <c:pt idx="26">
                  <c:v>8111.1399999999985</c:v>
                </c:pt>
                <c:pt idx="27">
                  <c:v>8464.4600000000009</c:v>
                </c:pt>
                <c:pt idx="28">
                  <c:v>8640.17</c:v>
                </c:pt>
                <c:pt idx="29">
                  <c:v>8750.5199999999986</c:v>
                </c:pt>
                <c:pt idx="30">
                  <c:v>9396.1299999999992</c:v>
                </c:pt>
                <c:pt idx="31">
                  <c:v>8209.9900000000016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C-43B7-91F8-5D009A571199}"/>
            </c:ext>
          </c:extLst>
        </c:ser>
        <c:ser>
          <c:idx val="1"/>
          <c:order val="1"/>
          <c:tx>
            <c:strRef>
              <c:f>Inflow!$A$81</c:f>
              <c:strCache>
                <c:ptCount val="1"/>
                <c:pt idx="0">
                  <c:v> Land Volume (DC Stock) Forecast </c:v>
                </c:pt>
              </c:strCache>
            </c:strRef>
          </c:tx>
          <c:spPr>
            <a:pattFill prst="pct75">
              <a:fgClr>
                <a:srgbClr val="00B050"/>
              </a:fgClr>
              <a:bgClr>
                <a:schemeClr val="bg1">
                  <a:lumMod val="9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Inflow!$B$78:$AH$78</c15:sqref>
                  </c15:fullRef>
                </c:ext>
              </c:extLst>
              <c:f>Inflow!$B$78:$AG$78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Inflow!$B$81:$AH$81</c15:sqref>
                  </c15:fullRef>
                </c:ext>
              </c:extLst>
              <c:f>Inflow!$B$81:$AG$81</c:f>
              <c:numCache>
                <c:formatCode>_-* #,##0_-;\-* #,##0_-;_-* "-"??_-;_-@_-</c:formatCode>
                <c:ptCount val="32"/>
                <c:pt idx="6">
                  <c:v>3837.12928345</c:v>
                </c:pt>
                <c:pt idx="7">
                  <c:v>4519.0577242387881</c:v>
                </c:pt>
                <c:pt idx="8">
                  <c:v>3523.1141153786266</c:v>
                </c:pt>
                <c:pt idx="9">
                  <c:v>4148.4644396224594</c:v>
                </c:pt>
                <c:pt idx="10">
                  <c:v>4565.9569540596622</c:v>
                </c:pt>
                <c:pt idx="11">
                  <c:v>4469.0849658666821</c:v>
                </c:pt>
                <c:pt idx="12">
                  <c:v>3847.3209526090004</c:v>
                </c:pt>
                <c:pt idx="13">
                  <c:v>4754.0217278302171</c:v>
                </c:pt>
                <c:pt idx="14">
                  <c:v>4044.9585415982283</c:v>
                </c:pt>
                <c:pt idx="15">
                  <c:v>4790.5945447365984</c:v>
                </c:pt>
                <c:pt idx="16">
                  <c:v>3430.2610987444036</c:v>
                </c:pt>
                <c:pt idx="17">
                  <c:v>3232.1128807340392</c:v>
                </c:pt>
                <c:pt idx="18">
                  <c:v>3754.0762069556322</c:v>
                </c:pt>
                <c:pt idx="19">
                  <c:v>4455.9683168666688</c:v>
                </c:pt>
                <c:pt idx="20">
                  <c:v>4314.3875584283142</c:v>
                </c:pt>
                <c:pt idx="21">
                  <c:v>4455.2995686052873</c:v>
                </c:pt>
                <c:pt idx="22">
                  <c:v>4602.0298121009073</c:v>
                </c:pt>
                <c:pt idx="23">
                  <c:v>4764.4505112772522</c:v>
                </c:pt>
                <c:pt idx="24">
                  <c:v>4052.384559631068</c:v>
                </c:pt>
                <c:pt idx="25">
                  <c:v>3800.5920213706081</c:v>
                </c:pt>
                <c:pt idx="26">
                  <c:v>4210.341050987181</c:v>
                </c:pt>
                <c:pt idx="27">
                  <c:v>5026.5416925843519</c:v>
                </c:pt>
                <c:pt idx="28">
                  <c:v>4852.2370209216697</c:v>
                </c:pt>
                <c:pt idx="29">
                  <c:v>4527.0042045533501</c:v>
                </c:pt>
                <c:pt idx="30">
                  <c:v>4814.4330096625908</c:v>
                </c:pt>
                <c:pt idx="31">
                  <c:v>4416.119883259672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C-43B7-91F8-5D009A571199}"/>
            </c:ext>
          </c:extLst>
        </c:ser>
        <c:ser>
          <c:idx val="2"/>
          <c:order val="2"/>
          <c:tx>
            <c:strRef>
              <c:f>Inflow!$A$80</c:f>
              <c:strCache>
                <c:ptCount val="1"/>
                <c:pt idx="0">
                  <c:v>Land Volume (Transit)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Inflow!$B$78:$AH$78</c15:sqref>
                  </c15:fullRef>
                </c:ext>
              </c:extLst>
              <c:f>Inflow!$B$78:$AG$78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Inflow!$B$80:$U$80</c15:sqref>
                  </c15:fullRef>
                </c:ext>
              </c:extLst>
              <c:f>Inflow!$B$80:$U$80</c:f>
              <c:numCache>
                <c:formatCode>_-* #,##0_-;\-* #,##0_-;_-* "-"??_-;_-@_-</c:formatCode>
                <c:ptCount val="20"/>
                <c:pt idx="0">
                  <c:v>6489.9530000000004</c:v>
                </c:pt>
                <c:pt idx="1">
                  <c:v>8016.13</c:v>
                </c:pt>
                <c:pt idx="2">
                  <c:v>8413.51</c:v>
                </c:pt>
                <c:pt idx="3">
                  <c:v>7785.01</c:v>
                </c:pt>
                <c:pt idx="4">
                  <c:v>8503.8339999999989</c:v>
                </c:pt>
                <c:pt idx="5">
                  <c:v>7333.4699999999993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BC-43B7-91F8-5D009A571199}"/>
            </c:ext>
          </c:extLst>
        </c:ser>
        <c:ser>
          <c:idx val="0"/>
          <c:order val="3"/>
          <c:tx>
            <c:strRef>
              <c:f>Inflow!$A$79</c:f>
              <c:strCache>
                <c:ptCount val="1"/>
                <c:pt idx="0">
                  <c:v>Land Volume (DC Stock)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Inflow!$B$78:$AH$78</c15:sqref>
                  </c15:fullRef>
                </c:ext>
              </c:extLst>
              <c:f>Inflow!$B$78:$AG$78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Inflow!$B$79:$U$79</c15:sqref>
                  </c15:fullRef>
                </c:ext>
              </c:extLst>
              <c:f>Inflow!$B$79:$U$79</c:f>
              <c:numCache>
                <c:formatCode>_-* #,##0_-;\-* #,##0_-;_-* "-"??_-;_-@_-</c:formatCode>
                <c:ptCount val="20"/>
                <c:pt idx="0">
                  <c:v>4918.0049999999992</c:v>
                </c:pt>
                <c:pt idx="1">
                  <c:v>4182.2859999999991</c:v>
                </c:pt>
                <c:pt idx="2">
                  <c:v>4576.3840000000009</c:v>
                </c:pt>
                <c:pt idx="3">
                  <c:v>4214.8849999999993</c:v>
                </c:pt>
                <c:pt idx="4">
                  <c:v>4870.5720000000001</c:v>
                </c:pt>
                <c:pt idx="5">
                  <c:v>4541.3829999999998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BC-43B7-91F8-5D009A57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22229248"/>
        <c:axId val="522227288"/>
      </c:barChart>
      <c:catAx>
        <c:axId val="52222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2227288"/>
        <c:crosses val="autoZero"/>
        <c:auto val="1"/>
        <c:lblAlgn val="ctr"/>
        <c:lblOffset val="100"/>
        <c:noMultiLvlLbl val="0"/>
      </c:catAx>
      <c:valAx>
        <c:axId val="52222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22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642633368119699E-3"/>
          <c:y val="0.34130988626421699"/>
          <c:w val="0.13735806129780714"/>
          <c:h val="0.397779877515310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Ocean Inflow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5013985035302324"/>
          <c:y val="0.13534931997136723"/>
          <c:w val="0.82333375804423048"/>
          <c:h val="0.6942208223972004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Inflow!$A$104</c:f>
              <c:strCache>
                <c:ptCount val="1"/>
                <c:pt idx="0">
                  <c:v> Ocean Volume (Transit) Forecast </c:v>
                </c:pt>
              </c:strCache>
            </c:strRef>
          </c:tx>
          <c:spPr>
            <a:pattFill prst="pct30">
              <a:fgClr>
                <a:schemeClr val="accent1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Inflow!$B$100:$AG$100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Inflow!$B$104:$AG$104</c:f>
              <c:numCache>
                <c:formatCode>_-* #,##0_-;\-* #,##0_-;_-* "-"??_-;_-@_-</c:formatCode>
                <c:ptCount val="3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9-4779-AA9E-E3F41B908B78}"/>
            </c:ext>
          </c:extLst>
        </c:ser>
        <c:ser>
          <c:idx val="1"/>
          <c:order val="1"/>
          <c:tx>
            <c:strRef>
              <c:f>Inflow!$A$103</c:f>
              <c:strCache>
                <c:ptCount val="1"/>
                <c:pt idx="0">
                  <c:v> Ocean Volume (DC Stock) Forecast </c:v>
                </c:pt>
              </c:strCache>
            </c:strRef>
          </c:tx>
          <c:spPr>
            <a:pattFill prst="pct75">
              <a:fgClr>
                <a:schemeClr val="accent1">
                  <a:lumMod val="75000"/>
                </a:schemeClr>
              </a:fgClr>
              <a:bgClr>
                <a:schemeClr val="bg1">
                  <a:lumMod val="95000"/>
                </a:schemeClr>
              </a:bgClr>
            </a:pattFill>
            <a:ln>
              <a:noFill/>
            </a:ln>
            <a:effectLst/>
          </c:spPr>
          <c:invertIfNegative val="0"/>
          <c:cat>
            <c:strRef>
              <c:f>Inflow!$B$100:$AG$100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Inflow!$B$103:$AG$103</c:f>
              <c:numCache>
                <c:formatCode>_-* #,##0_-;\-* #,##0_-;_-* "-"??_-;_-@_-</c:formatCode>
                <c:ptCount val="32"/>
                <c:pt idx="6">
                  <c:v>6854.2312165499998</c:v>
                </c:pt>
                <c:pt idx="7">
                  <c:v>8072.3541571732712</c:v>
                </c:pt>
                <c:pt idx="8">
                  <c:v>6293.3086078830793</c:v>
                </c:pt>
                <c:pt idx="9">
                  <c:v>7410.3665428864833</c:v>
                </c:pt>
                <c:pt idx="10">
                  <c:v>8156.129850230287</c:v>
                </c:pt>
                <c:pt idx="11">
                  <c:v>7983.0882463558928</c:v>
                </c:pt>
                <c:pt idx="12">
                  <c:v>6872.4365079900545</c:v>
                </c:pt>
                <c:pt idx="13">
                  <c:v>8492.0683469265878</c:v>
                </c:pt>
                <c:pt idx="14">
                  <c:v>7225.4748426264268</c:v>
                </c:pt>
                <c:pt idx="15">
                  <c:v>8557.3980569257001</c:v>
                </c:pt>
                <c:pt idx="16">
                  <c:v>6127.4460585261559</c:v>
                </c:pt>
                <c:pt idx="17">
                  <c:v>5773.4955916372046</c:v>
                </c:pt>
                <c:pt idx="18">
                  <c:v>6705.8742164370478</c:v>
                </c:pt>
                <c:pt idx="19">
                  <c:v>7959.6580884458654</c:v>
                </c:pt>
                <c:pt idx="20">
                  <c:v>7706.7535907171714</c:v>
                </c:pt>
                <c:pt idx="21">
                  <c:v>7958.4635091469754</c:v>
                </c:pt>
                <c:pt idx="22">
                  <c:v>8220.5664879852102</c:v>
                </c:pt>
                <c:pt idx="23">
                  <c:v>8510.6971935911006</c:v>
                </c:pt>
                <c:pt idx="24">
                  <c:v>7238.7398751169621</c:v>
                </c:pt>
                <c:pt idx="25">
                  <c:v>6788.9650178342072</c:v>
                </c:pt>
                <c:pt idx="26">
                  <c:v>7520.8962044800282</c:v>
                </c:pt>
                <c:pt idx="27">
                  <c:v>8978.8684288543554</c:v>
                </c:pt>
                <c:pt idx="28">
                  <c:v>8667.5094848506069</c:v>
                </c:pt>
                <c:pt idx="29">
                  <c:v>8086.5488869856572</c:v>
                </c:pt>
                <c:pt idx="30">
                  <c:v>8599.9805029108029</c:v>
                </c:pt>
                <c:pt idx="31">
                  <c:v>7888.4771723537924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9-4779-AA9E-E3F41B908B78}"/>
            </c:ext>
          </c:extLst>
        </c:ser>
        <c:ser>
          <c:idx val="2"/>
          <c:order val="2"/>
          <c:tx>
            <c:strRef>
              <c:f>Inflow!$A$102</c:f>
              <c:strCache>
                <c:ptCount val="1"/>
                <c:pt idx="0">
                  <c:v>Ocean Volume (Transit)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Inflow!$B$100:$AG$100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Inflow!$B$102:$AG$102</c:f>
              <c:numCache>
                <c:formatCode>_-* #,##0_-;\-* #,##0_-;_-* "-"??_-;_-@_-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29-4779-AA9E-E3F41B908B78}"/>
            </c:ext>
          </c:extLst>
        </c:ser>
        <c:ser>
          <c:idx val="0"/>
          <c:order val="3"/>
          <c:tx>
            <c:strRef>
              <c:f>Inflow!$A$101</c:f>
              <c:strCache>
                <c:ptCount val="1"/>
                <c:pt idx="0">
                  <c:v>Ocean Volume (DC Stock)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Inflow!$B$100:$AG$100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Inflow!$B$101:$AG$101</c:f>
              <c:numCache>
                <c:formatCode>_-* #,##0_-;\-* #,##0_-;_-* "-"??_-;_-@_-</c:formatCode>
                <c:ptCount val="32"/>
                <c:pt idx="0">
                  <c:v>12737.453</c:v>
                </c:pt>
                <c:pt idx="1">
                  <c:v>4964.7849999999999</c:v>
                </c:pt>
                <c:pt idx="2">
                  <c:v>5926.98</c:v>
                </c:pt>
                <c:pt idx="3">
                  <c:v>13392.137999999999</c:v>
                </c:pt>
                <c:pt idx="4">
                  <c:v>9295.6370000000006</c:v>
                </c:pt>
                <c:pt idx="5">
                  <c:v>6854.9419999999991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29-4779-AA9E-E3F41B908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22226112"/>
        <c:axId val="242592808"/>
      </c:barChart>
      <c:catAx>
        <c:axId val="52222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2808"/>
        <c:crosses val="autoZero"/>
        <c:auto val="1"/>
        <c:lblAlgn val="ctr"/>
        <c:lblOffset val="100"/>
        <c:noMultiLvlLbl val="0"/>
      </c:catAx>
      <c:valAx>
        <c:axId val="24259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22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5.642633368119699E-3"/>
          <c:y val="0.34130988626421699"/>
          <c:w val="0.13735806129780714"/>
          <c:h val="0.397779877515310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Total DC Out from Stock</a:t>
            </a:r>
            <a:r>
              <a:rPr lang="en-GB" sz="1400" b="1" i="0" u="none" strike="noStrike" baseline="0"/>
              <a:t> 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338404385755179"/>
          <c:y val="0.17171296296296296"/>
          <c:w val="0.84935045881894378"/>
          <c:h val="0.69422083035075155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Outflow!$A$22</c:f>
              <c:strCache>
                <c:ptCount val="1"/>
                <c:pt idx="0">
                  <c:v> DC Out from Stock to other BU Forecast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Outflow!$B$16:$AH$16</c15:sqref>
                  </c15:fullRef>
                </c:ext>
              </c:extLst>
              <c:f>Outflow!$B$16:$AG$16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Outflow!$B$22:$AH$22</c15:sqref>
                  </c15:fullRef>
                </c:ext>
              </c:extLst>
              <c:f>Outflow!$B$22:$AG$22</c:f>
              <c:numCache>
                <c:formatCode>_-* #,##0_-;\-* #,##0_-;_-* "-"??_-;_-@_-</c:formatCode>
                <c:ptCount val="32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E-4642-941C-02F872CED361}"/>
            </c:ext>
          </c:extLst>
        </c:ser>
        <c:ser>
          <c:idx val="4"/>
          <c:order val="1"/>
          <c:tx>
            <c:strRef>
              <c:f>Outflow!$A$21</c:f>
              <c:strCache>
                <c:ptCount val="1"/>
                <c:pt idx="0">
                  <c:v> DC Out from Stock to CDC Forecast </c:v>
                </c:pt>
              </c:strCache>
            </c:strRef>
          </c:tx>
          <c:spPr>
            <a:pattFill prst="pct30">
              <a:fgClr>
                <a:schemeClr val="accent6">
                  <a:lumMod val="20000"/>
                  <a:lumOff val="80000"/>
                </a:schemeClr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Outflow!$B$16:$AH$16</c15:sqref>
                  </c15:fullRef>
                </c:ext>
              </c:extLst>
              <c:f>Outflow!$B$16:$AG$16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Outflow!$B$21:$AH$21</c15:sqref>
                  </c15:fullRef>
                </c:ext>
              </c:extLst>
              <c:f>Outflow!$B$21:$AG$21</c:f>
              <c:numCache>
                <c:formatCode>_-* #,##0_-;\-* #,##0_-;_-* "-"??_-;_-@_-</c:formatCode>
                <c:ptCount val="32"/>
                <c:pt idx="6">
                  <c:v>3894.4361711872225</c:v>
                </c:pt>
                <c:pt idx="7">
                  <c:v>3725.5275866824445</c:v>
                </c:pt>
                <c:pt idx="8">
                  <c:v>3596.4441483486908</c:v>
                </c:pt>
                <c:pt idx="9">
                  <c:v>3562.7742080854564</c:v>
                </c:pt>
                <c:pt idx="10">
                  <c:v>3578.61</c:v>
                </c:pt>
                <c:pt idx="11">
                  <c:v>3393.69</c:v>
                </c:pt>
                <c:pt idx="12">
                  <c:v>3632.1564832866934</c:v>
                </c:pt>
                <c:pt idx="13">
                  <c:v>3602.37</c:v>
                </c:pt>
                <c:pt idx="14">
                  <c:v>3656.9299999999994</c:v>
                </c:pt>
                <c:pt idx="15">
                  <c:v>3469.1899999999996</c:v>
                </c:pt>
                <c:pt idx="16">
                  <c:v>3889.34</c:v>
                </c:pt>
                <c:pt idx="17">
                  <c:v>4242.3722996552087</c:v>
                </c:pt>
                <c:pt idx="18">
                  <c:v>3472.46</c:v>
                </c:pt>
                <c:pt idx="19">
                  <c:v>2749.1800000000003</c:v>
                </c:pt>
                <c:pt idx="20">
                  <c:v>2400.7503214345743</c:v>
                </c:pt>
                <c:pt idx="21">
                  <c:v>3347.3916175662434</c:v>
                </c:pt>
                <c:pt idx="22">
                  <c:v>3794.3700000000003</c:v>
                </c:pt>
                <c:pt idx="23">
                  <c:v>4661.74</c:v>
                </c:pt>
                <c:pt idx="24">
                  <c:v>4443.2599999999993</c:v>
                </c:pt>
                <c:pt idx="25">
                  <c:v>3766.8130004806521</c:v>
                </c:pt>
                <c:pt idx="26">
                  <c:v>3779.3439089581907</c:v>
                </c:pt>
                <c:pt idx="27">
                  <c:v>3724.1983920372531</c:v>
                </c:pt>
                <c:pt idx="28">
                  <c:v>3888.13</c:v>
                </c:pt>
                <c:pt idx="29">
                  <c:v>4096.5119534702362</c:v>
                </c:pt>
                <c:pt idx="30">
                  <c:v>4389.33</c:v>
                </c:pt>
                <c:pt idx="31">
                  <c:v>3496.8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E-4642-941C-02F872CED361}"/>
            </c:ext>
          </c:extLst>
        </c:ser>
        <c:ser>
          <c:idx val="3"/>
          <c:order val="2"/>
          <c:tx>
            <c:strRef>
              <c:f>Outflow!$A$20</c:f>
              <c:strCache>
                <c:ptCount val="1"/>
                <c:pt idx="0">
                  <c:v> DC Out from Stock to STO Forecast </c:v>
                </c:pt>
              </c:strCache>
            </c:strRef>
          </c:tx>
          <c:spPr>
            <a:pattFill prst="pct30">
              <a:fgClr>
                <a:schemeClr val="accent6">
                  <a:lumMod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Outflow!$B$16:$AH$16</c15:sqref>
                  </c15:fullRef>
                </c:ext>
              </c:extLst>
              <c:f>Outflow!$B$16:$AG$16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Outflow!$B$20:$AH$20</c15:sqref>
                  </c15:fullRef>
                </c:ext>
              </c:extLst>
              <c:f>Outflow!$B$20:$AG$20</c:f>
              <c:numCache>
                <c:formatCode>_-* #,##0_-;\-* #,##0_-;_-* "-"??_-;_-@_-</c:formatCode>
                <c:ptCount val="32"/>
                <c:pt idx="6">
                  <c:v>13011.91382881278</c:v>
                </c:pt>
                <c:pt idx="7">
                  <c:v>10361.632413317559</c:v>
                </c:pt>
                <c:pt idx="8">
                  <c:v>9605.3558516513131</c:v>
                </c:pt>
                <c:pt idx="9">
                  <c:v>9730.1157919145426</c:v>
                </c:pt>
                <c:pt idx="10">
                  <c:v>9577.4699999999993</c:v>
                </c:pt>
                <c:pt idx="11">
                  <c:v>9686.0499999999993</c:v>
                </c:pt>
                <c:pt idx="12">
                  <c:v>10576.203516713305</c:v>
                </c:pt>
                <c:pt idx="13">
                  <c:v>10232.150000000001</c:v>
                </c:pt>
                <c:pt idx="14">
                  <c:v>9955.7400000000016</c:v>
                </c:pt>
                <c:pt idx="15">
                  <c:v>9866.92</c:v>
                </c:pt>
                <c:pt idx="16">
                  <c:v>9510.11</c:v>
                </c:pt>
                <c:pt idx="17">
                  <c:v>11271.227700344791</c:v>
                </c:pt>
                <c:pt idx="18">
                  <c:v>9922.08</c:v>
                </c:pt>
                <c:pt idx="19">
                  <c:v>8213.43</c:v>
                </c:pt>
                <c:pt idx="20">
                  <c:v>7736.6696785654249</c:v>
                </c:pt>
                <c:pt idx="21">
                  <c:v>8425.5583824337591</c:v>
                </c:pt>
                <c:pt idx="22">
                  <c:v>10522.060000000001</c:v>
                </c:pt>
                <c:pt idx="23">
                  <c:v>10053.91</c:v>
                </c:pt>
                <c:pt idx="24">
                  <c:v>9648.93</c:v>
                </c:pt>
                <c:pt idx="25">
                  <c:v>8724.966999519349</c:v>
                </c:pt>
                <c:pt idx="26">
                  <c:v>8859.7760910418092</c:v>
                </c:pt>
                <c:pt idx="27">
                  <c:v>8737.901607962749</c:v>
                </c:pt>
                <c:pt idx="28">
                  <c:v>8736.85</c:v>
                </c:pt>
                <c:pt idx="29">
                  <c:v>8813.8880465297625</c:v>
                </c:pt>
                <c:pt idx="30">
                  <c:v>11255.759999999998</c:v>
                </c:pt>
                <c:pt idx="31">
                  <c:v>8833.2000000000007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7E-4642-941C-02F872CED361}"/>
            </c:ext>
          </c:extLst>
        </c:ser>
        <c:ser>
          <c:idx val="2"/>
          <c:order val="3"/>
          <c:tx>
            <c:strRef>
              <c:f>Outflow!$A$19</c:f>
              <c:strCache>
                <c:ptCount val="1"/>
                <c:pt idx="0">
                  <c:v>DC Out from Stock to other BU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Outflow!$B$16:$AH$16</c15:sqref>
                  </c15:fullRef>
                </c:ext>
              </c:extLst>
              <c:f>Outflow!$B$16:$AG$16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Outflow!$B$19:$U$19</c15:sqref>
                  </c15:fullRef>
                </c:ext>
              </c:extLst>
              <c:f>Outflow!$B$19:$U$19</c:f>
              <c:numCache>
                <c:formatCode>_-* #,##0_-;\-* #,##0_-;_-* "-"??_-;_-@_-</c:formatCode>
                <c:ptCount val="20"/>
                <c:pt idx="0">
                  <c:v>297.82299999999998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201.25400000000002</c:v>
                </c:pt>
                <c:pt idx="5">
                  <c:v>40.454999999999998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7E-4642-941C-02F872CED361}"/>
            </c:ext>
          </c:extLst>
        </c:ser>
        <c:ser>
          <c:idx val="1"/>
          <c:order val="4"/>
          <c:tx>
            <c:strRef>
              <c:f>Outflow!$A$18</c:f>
              <c:strCache>
                <c:ptCount val="1"/>
                <c:pt idx="0">
                  <c:v>DC Out from Stock to CDC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Outflow!$B$16:$AH$16</c15:sqref>
                  </c15:fullRef>
                </c:ext>
              </c:extLst>
              <c:f>Outflow!$B$16:$AG$16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Outflow!$B$18:$U$18</c15:sqref>
                  </c15:fullRef>
                </c:ext>
              </c:extLst>
              <c:f>Outflow!$B$18:$U$18</c:f>
              <c:numCache>
                <c:formatCode>_-* #,##0_-;\-* #,##0_-;_-* "-"??_-;_-@_-</c:formatCode>
                <c:ptCount val="20"/>
                <c:pt idx="0">
                  <c:v>3629.4190000000003</c:v>
                </c:pt>
                <c:pt idx="1">
                  <c:v>3876.8670000000002</c:v>
                </c:pt>
                <c:pt idx="2">
                  <c:v>3382.087</c:v>
                </c:pt>
                <c:pt idx="3">
                  <c:v>4102.25</c:v>
                </c:pt>
                <c:pt idx="4">
                  <c:v>3643.7550000000001</c:v>
                </c:pt>
                <c:pt idx="5">
                  <c:v>3723.7109999999993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7E-4642-941C-02F872CED361}"/>
            </c:ext>
          </c:extLst>
        </c:ser>
        <c:ser>
          <c:idx val="0"/>
          <c:order val="5"/>
          <c:tx>
            <c:strRef>
              <c:f>Outflow!$A$17</c:f>
              <c:strCache>
                <c:ptCount val="1"/>
                <c:pt idx="0">
                  <c:v>DC Out from Stock to STO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Outflow!$B$16:$AH$16</c15:sqref>
                  </c15:fullRef>
                </c:ext>
              </c:extLst>
              <c:f>Outflow!$B$16:$AG$16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Outflow!$B$17:$U$17</c15:sqref>
                  </c15:fullRef>
                </c:ext>
              </c:extLst>
              <c:f>Outflow!$B$17:$U$17</c:f>
              <c:numCache>
                <c:formatCode>_-* #,##0_-;\-* #,##0_-;_-* "-"??_-;_-@_-</c:formatCode>
                <c:ptCount val="20"/>
                <c:pt idx="0">
                  <c:v>10007.477000000001</c:v>
                </c:pt>
                <c:pt idx="1">
                  <c:v>9971.09</c:v>
                </c:pt>
                <c:pt idx="2">
                  <c:v>8690.5730000000003</c:v>
                </c:pt>
                <c:pt idx="3">
                  <c:v>8999.5210000000006</c:v>
                </c:pt>
                <c:pt idx="4">
                  <c:v>10979.087</c:v>
                </c:pt>
                <c:pt idx="5">
                  <c:v>10368.393000000002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7E-4642-941C-02F872CED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42593200"/>
        <c:axId val="242591240"/>
      </c:barChart>
      <c:catAx>
        <c:axId val="24259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1240"/>
        <c:crosses val="autoZero"/>
        <c:auto val="1"/>
        <c:lblAlgn val="ctr"/>
        <c:lblOffset val="100"/>
        <c:noMultiLvlLbl val="0"/>
      </c:catAx>
      <c:valAx>
        <c:axId val="24259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2083071018107196E-3"/>
          <c:y val="0.16574558180227469"/>
          <c:w val="0.1067439900755173"/>
          <c:h val="0.68750322118826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Total Transit Out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317240568960447"/>
          <c:y val="0.13534931997136723"/>
          <c:w val="0.84997082699348681"/>
          <c:h val="0.694220822397200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Outflow!$A$42</c:f>
              <c:strCache>
                <c:ptCount val="1"/>
                <c:pt idx="0">
                  <c:v> Total DC Out Transit Forecast </c:v>
                </c:pt>
              </c:strCache>
            </c:strRef>
          </c:tx>
          <c:spPr>
            <a:pattFill prst="pct30">
              <a:fgClr>
                <a:schemeClr val="accent6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Outflow!$B$40:$AH$40</c15:sqref>
                  </c15:fullRef>
                </c:ext>
              </c:extLst>
              <c:f>Outflow!$B$40:$AG$40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Outflow!$B$42:$AH$42</c15:sqref>
                  </c15:fullRef>
                </c:ext>
              </c:extLst>
              <c:f>Outflow!$B$42:$AG$42</c:f>
              <c:numCache>
                <c:formatCode>_-* #,##0_-;\-* #,##0_-;_-* "-"??_-;_-@_-</c:formatCode>
                <c:ptCount val="32"/>
                <c:pt idx="6">
                  <c:v>11180.796999999999</c:v>
                </c:pt>
                <c:pt idx="7">
                  <c:v>8371.8130000000001</c:v>
                </c:pt>
                <c:pt idx="8">
                  <c:v>10117.606000000002</c:v>
                </c:pt>
                <c:pt idx="9">
                  <c:v>8669.8359999999993</c:v>
                </c:pt>
                <c:pt idx="10">
                  <c:v>8260.0560000000005</c:v>
                </c:pt>
                <c:pt idx="11">
                  <c:v>9513.43</c:v>
                </c:pt>
                <c:pt idx="12">
                  <c:v>10133.839999999998</c:v>
                </c:pt>
                <c:pt idx="13">
                  <c:v>9543.5000000000018</c:v>
                </c:pt>
                <c:pt idx="14">
                  <c:v>9795</c:v>
                </c:pt>
                <c:pt idx="15">
                  <c:v>9766.619999999999</c:v>
                </c:pt>
                <c:pt idx="16">
                  <c:v>9361.33</c:v>
                </c:pt>
                <c:pt idx="17">
                  <c:v>9499.2000000000007</c:v>
                </c:pt>
                <c:pt idx="18">
                  <c:v>9012.2999999999975</c:v>
                </c:pt>
                <c:pt idx="19">
                  <c:v>7789.93</c:v>
                </c:pt>
                <c:pt idx="20">
                  <c:v>7887.95</c:v>
                </c:pt>
                <c:pt idx="21">
                  <c:v>9269.7100000000009</c:v>
                </c:pt>
                <c:pt idx="22">
                  <c:v>9218.4399999999987</c:v>
                </c:pt>
                <c:pt idx="23">
                  <c:v>9113.91</c:v>
                </c:pt>
                <c:pt idx="24">
                  <c:v>5638.4599999999991</c:v>
                </c:pt>
                <c:pt idx="25">
                  <c:v>6800.3499999999995</c:v>
                </c:pt>
                <c:pt idx="26">
                  <c:v>8111.1399999999985</c:v>
                </c:pt>
                <c:pt idx="27">
                  <c:v>8464.4600000000009</c:v>
                </c:pt>
                <c:pt idx="28">
                  <c:v>8640.17</c:v>
                </c:pt>
                <c:pt idx="29">
                  <c:v>8750.5199999999986</c:v>
                </c:pt>
                <c:pt idx="30">
                  <c:v>9396.1299999999992</c:v>
                </c:pt>
                <c:pt idx="31">
                  <c:v>8209.9900000000016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6-4B80-AB3B-A6655BDEBF4A}"/>
            </c:ext>
          </c:extLst>
        </c:ser>
        <c:ser>
          <c:idx val="0"/>
          <c:order val="1"/>
          <c:tx>
            <c:strRef>
              <c:f>Outflow!$A$41</c:f>
              <c:strCache>
                <c:ptCount val="1"/>
                <c:pt idx="0">
                  <c:v>Total DC Out Transit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Outflow!$B$40:$AH$40</c15:sqref>
                  </c15:fullRef>
                </c:ext>
              </c:extLst>
              <c:f>Outflow!$B$40:$AG$40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Outflow!$B$41:$S$41</c15:sqref>
                  </c15:fullRef>
                </c:ext>
              </c:extLst>
              <c:f>Outflow!$B$41:$S$41</c:f>
              <c:numCache>
                <c:formatCode>_-* #,##0_-;\-* #,##0_-;_-* "-"??_-;_-@_-</c:formatCode>
                <c:ptCount val="18"/>
                <c:pt idx="0">
                  <c:v>6815.12</c:v>
                </c:pt>
                <c:pt idx="1">
                  <c:v>7643.7059999999992</c:v>
                </c:pt>
                <c:pt idx="2">
                  <c:v>8230.7090000000007</c:v>
                </c:pt>
                <c:pt idx="3">
                  <c:v>7483.62</c:v>
                </c:pt>
                <c:pt idx="4">
                  <c:v>7821.6380000000008</c:v>
                </c:pt>
                <c:pt idx="5">
                  <c:v>7754.7690000000002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6-4B80-AB3B-A6655BDEB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42591632"/>
        <c:axId val="242592416"/>
      </c:barChart>
      <c:catAx>
        <c:axId val="24259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2416"/>
        <c:crosses val="autoZero"/>
        <c:auto val="1"/>
        <c:lblAlgn val="ctr"/>
        <c:lblOffset val="100"/>
        <c:noMultiLvlLbl val="0"/>
      </c:catAx>
      <c:valAx>
        <c:axId val="24259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Total Outbound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317240568960444"/>
          <c:y val="0.13534931997136723"/>
          <c:w val="0.8496356882558016"/>
          <c:h val="0.6942208223972004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Outflow!$A$64</c:f>
              <c:strCache>
                <c:ptCount val="1"/>
                <c:pt idx="0">
                  <c:v> Total DC Out from Stock Forecast </c:v>
                </c:pt>
              </c:strCache>
            </c:strRef>
          </c:tx>
          <c:spPr>
            <a:pattFill prst="pct30">
              <a:fgClr>
                <a:schemeClr val="accent6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Outflow!$B$60:$AH$60</c15:sqref>
                  </c15:fullRef>
                </c:ext>
              </c:extLst>
              <c:f>Outflow!$B$60:$AG$60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Outflow!$B$64:$AH$64</c15:sqref>
                  </c15:fullRef>
                </c:ext>
              </c:extLst>
              <c:f>Outflow!$B$64:$AG$64</c:f>
              <c:numCache>
                <c:formatCode>_-* #,##0_-;\-* #,##0_-;_-* "-"??_-;_-@_-</c:formatCode>
                <c:ptCount val="32"/>
                <c:pt idx="6">
                  <c:v>16906.350000000002</c:v>
                </c:pt>
                <c:pt idx="7">
                  <c:v>14087.160000000003</c:v>
                </c:pt>
                <c:pt idx="8">
                  <c:v>13201.800000000003</c:v>
                </c:pt>
                <c:pt idx="9">
                  <c:v>13292.89</c:v>
                </c:pt>
                <c:pt idx="10">
                  <c:v>13156.08</c:v>
                </c:pt>
                <c:pt idx="11">
                  <c:v>13079.74</c:v>
                </c:pt>
                <c:pt idx="12">
                  <c:v>14208.359999999999</c:v>
                </c:pt>
                <c:pt idx="13">
                  <c:v>13834.52</c:v>
                </c:pt>
                <c:pt idx="14">
                  <c:v>13612.670000000002</c:v>
                </c:pt>
                <c:pt idx="15">
                  <c:v>13336.11</c:v>
                </c:pt>
                <c:pt idx="16">
                  <c:v>13399.45</c:v>
                </c:pt>
                <c:pt idx="17">
                  <c:v>15513.599999999999</c:v>
                </c:pt>
                <c:pt idx="18">
                  <c:v>13394.54</c:v>
                </c:pt>
                <c:pt idx="19">
                  <c:v>10962.61</c:v>
                </c:pt>
                <c:pt idx="20">
                  <c:v>10137.419999999998</c:v>
                </c:pt>
                <c:pt idx="21">
                  <c:v>11772.950000000003</c:v>
                </c:pt>
                <c:pt idx="22">
                  <c:v>14316.430000000002</c:v>
                </c:pt>
                <c:pt idx="23">
                  <c:v>14715.65</c:v>
                </c:pt>
                <c:pt idx="24">
                  <c:v>14092.189999999999</c:v>
                </c:pt>
                <c:pt idx="25">
                  <c:v>12491.78</c:v>
                </c:pt>
                <c:pt idx="26">
                  <c:v>12639.119999999999</c:v>
                </c:pt>
                <c:pt idx="27">
                  <c:v>12462.100000000002</c:v>
                </c:pt>
                <c:pt idx="28">
                  <c:v>12624.98</c:v>
                </c:pt>
                <c:pt idx="29">
                  <c:v>12910.399999999998</c:v>
                </c:pt>
                <c:pt idx="30">
                  <c:v>15645.089999999998</c:v>
                </c:pt>
                <c:pt idx="31">
                  <c:v>12330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7-4C4B-B332-3076209F6B0E}"/>
            </c:ext>
          </c:extLst>
        </c:ser>
        <c:ser>
          <c:idx val="1"/>
          <c:order val="1"/>
          <c:tx>
            <c:strRef>
              <c:f>Outflow!$A$63</c:f>
              <c:strCache>
                <c:ptCount val="1"/>
                <c:pt idx="0">
                  <c:v> Total DC Out Transit Forecast </c:v>
                </c:pt>
              </c:strCache>
            </c:strRef>
          </c:tx>
          <c:spPr>
            <a:pattFill prst="pct30">
              <a:fgClr>
                <a:schemeClr val="accent6">
                  <a:lumMod val="5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Outflow!$B$60:$AH$60</c15:sqref>
                  </c15:fullRef>
                </c:ext>
              </c:extLst>
              <c:f>Outflow!$B$60:$AG$60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Outflow!$B$63:$AH$63</c15:sqref>
                  </c15:fullRef>
                </c:ext>
              </c:extLst>
              <c:f>Outflow!$B$63:$AG$63</c:f>
              <c:numCache>
                <c:formatCode>_-* #,##0_-;\-* #,##0_-;_-* "-"??_-;_-@_-</c:formatCode>
                <c:ptCount val="32"/>
                <c:pt idx="6">
                  <c:v>11180.796999999999</c:v>
                </c:pt>
                <c:pt idx="7">
                  <c:v>8371.8130000000001</c:v>
                </c:pt>
                <c:pt idx="8">
                  <c:v>10117.606000000002</c:v>
                </c:pt>
                <c:pt idx="9">
                  <c:v>8669.8359999999993</c:v>
                </c:pt>
                <c:pt idx="10">
                  <c:v>8260.0560000000005</c:v>
                </c:pt>
                <c:pt idx="11">
                  <c:v>9513.43</c:v>
                </c:pt>
                <c:pt idx="12">
                  <c:v>10133.839999999998</c:v>
                </c:pt>
                <c:pt idx="13">
                  <c:v>9543.5000000000018</c:v>
                </c:pt>
                <c:pt idx="14">
                  <c:v>9795</c:v>
                </c:pt>
                <c:pt idx="15">
                  <c:v>9766.619999999999</c:v>
                </c:pt>
                <c:pt idx="16">
                  <c:v>9361.33</c:v>
                </c:pt>
                <c:pt idx="17">
                  <c:v>9499.2000000000007</c:v>
                </c:pt>
                <c:pt idx="18">
                  <c:v>9012.2999999999975</c:v>
                </c:pt>
                <c:pt idx="19">
                  <c:v>7789.93</c:v>
                </c:pt>
                <c:pt idx="20">
                  <c:v>7887.95</c:v>
                </c:pt>
                <c:pt idx="21">
                  <c:v>9269.7100000000009</c:v>
                </c:pt>
                <c:pt idx="22">
                  <c:v>9218.4399999999987</c:v>
                </c:pt>
                <c:pt idx="23">
                  <c:v>9113.91</c:v>
                </c:pt>
                <c:pt idx="24">
                  <c:v>5638.4599999999991</c:v>
                </c:pt>
                <c:pt idx="25">
                  <c:v>6800.3499999999995</c:v>
                </c:pt>
                <c:pt idx="26">
                  <c:v>8111.1399999999985</c:v>
                </c:pt>
                <c:pt idx="27">
                  <c:v>8464.4600000000009</c:v>
                </c:pt>
                <c:pt idx="28">
                  <c:v>8640.17</c:v>
                </c:pt>
                <c:pt idx="29">
                  <c:v>8750.5199999999986</c:v>
                </c:pt>
                <c:pt idx="30">
                  <c:v>9396.1299999999992</c:v>
                </c:pt>
                <c:pt idx="31">
                  <c:v>8209.9900000000016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7-4C4B-B332-3076209F6B0E}"/>
            </c:ext>
          </c:extLst>
        </c:ser>
        <c:ser>
          <c:idx val="2"/>
          <c:order val="2"/>
          <c:tx>
            <c:strRef>
              <c:f>Outflow!$A$62</c:f>
              <c:strCache>
                <c:ptCount val="1"/>
                <c:pt idx="0">
                  <c:v>Total DC Out from Stock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Outflow!$B$60:$AH$60</c15:sqref>
                  </c15:fullRef>
                </c:ext>
              </c:extLst>
              <c:f>Outflow!$B$60:$AG$60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Outflow!$B$62:$S$62</c15:sqref>
                  </c15:fullRef>
                </c:ext>
              </c:extLst>
              <c:f>Outflow!$B$62:$S$62</c:f>
              <c:numCache>
                <c:formatCode>_-* #,##0_-;\-* #,##0_-;_-* "-"??_-;_-@_-</c:formatCode>
                <c:ptCount val="18"/>
                <c:pt idx="0">
                  <c:v>13934.719000000001</c:v>
                </c:pt>
                <c:pt idx="1">
                  <c:v>13847.957</c:v>
                </c:pt>
                <c:pt idx="2">
                  <c:v>12072.66</c:v>
                </c:pt>
                <c:pt idx="3">
                  <c:v>13101.771000000001</c:v>
                </c:pt>
                <c:pt idx="4">
                  <c:v>14824.096000000001</c:v>
                </c:pt>
                <c:pt idx="5">
                  <c:v>14132.559000000001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7-4C4B-B332-3076209F6B0E}"/>
            </c:ext>
          </c:extLst>
        </c:ser>
        <c:ser>
          <c:idx val="0"/>
          <c:order val="3"/>
          <c:tx>
            <c:strRef>
              <c:f>Outflow!$A$61</c:f>
              <c:strCache>
                <c:ptCount val="1"/>
                <c:pt idx="0">
                  <c:v>Total DC Out Transit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Outflow!$B$60:$AH$60</c15:sqref>
                  </c15:fullRef>
                </c:ext>
              </c:extLst>
              <c:f>Outflow!$B$60:$AG$60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Outflow!$B$61:$S$61</c15:sqref>
                  </c15:fullRef>
                </c:ext>
              </c:extLst>
              <c:f>Outflow!$B$61:$S$61</c:f>
              <c:numCache>
                <c:formatCode>_-* #,##0_-;\-* #,##0_-;_-* "-"??_-;_-@_-</c:formatCode>
                <c:ptCount val="18"/>
                <c:pt idx="0">
                  <c:v>6815.12</c:v>
                </c:pt>
                <c:pt idx="1">
                  <c:v>7643.7059999999992</c:v>
                </c:pt>
                <c:pt idx="2">
                  <c:v>8230.7090000000007</c:v>
                </c:pt>
                <c:pt idx="3">
                  <c:v>7483.62</c:v>
                </c:pt>
                <c:pt idx="4">
                  <c:v>7821.6380000000008</c:v>
                </c:pt>
                <c:pt idx="5">
                  <c:v>7754.7690000000002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7-4C4B-B332-3076209F6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42594768"/>
        <c:axId val="202255000"/>
      </c:barChart>
      <c:catAx>
        <c:axId val="24259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255000"/>
        <c:crosses val="autoZero"/>
        <c:auto val="1"/>
        <c:lblAlgn val="ctr"/>
        <c:lblOffset val="100"/>
        <c:noMultiLvlLbl val="0"/>
      </c:catAx>
      <c:valAx>
        <c:axId val="20225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Picking OL</a:t>
            </a:r>
            <a:endParaRPr lang="en-GB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135994495066753"/>
          <c:y val="0.17171296296296296"/>
          <c:w val="0.85157088255658764"/>
          <c:h val="0.6942208223972004"/>
        </c:manualLayout>
      </c:layout>
      <c:lineChart>
        <c:grouping val="standard"/>
        <c:varyColors val="0"/>
        <c:ser>
          <c:idx val="0"/>
          <c:order val="0"/>
          <c:tx>
            <c:strRef>
              <c:f>Outflow!$A$83</c:f>
              <c:strCache>
                <c:ptCount val="1"/>
                <c:pt idx="0">
                  <c:v>Total OL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Outflow!$B$40:$AH$40</c15:sqref>
                  </c15:fullRef>
                </c:ext>
              </c:extLst>
              <c:f>Outflow!$B$40:$AG$40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Outflow!$B$83:$U$83</c15:sqref>
                  </c15:fullRef>
                </c:ext>
              </c:extLst>
              <c:f>Outflow!$B$83:$U$83</c:f>
              <c:numCache>
                <c:formatCode>#,##0</c:formatCode>
                <c:ptCount val="20"/>
                <c:pt idx="0">
                  <c:v>32973</c:v>
                </c:pt>
                <c:pt idx="1">
                  <c:v>34418</c:v>
                </c:pt>
                <c:pt idx="2">
                  <c:v>33672</c:v>
                </c:pt>
                <c:pt idx="3">
                  <c:v>33005</c:v>
                </c:pt>
                <c:pt idx="4">
                  <c:v>36890</c:v>
                </c:pt>
                <c:pt idx="5">
                  <c:v>35208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E-41F1-9BDD-6EA59DABE30F}"/>
            </c:ext>
          </c:extLst>
        </c:ser>
        <c:ser>
          <c:idx val="1"/>
          <c:order val="1"/>
          <c:tx>
            <c:strRef>
              <c:f>Outflow!$A$84</c:f>
              <c:strCache>
                <c:ptCount val="1"/>
                <c:pt idx="0">
                  <c:v> Total OL Forecast 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Outflow!$B$40:$AH$40</c15:sqref>
                  </c15:fullRef>
                </c:ext>
              </c:extLst>
              <c:f>Outflow!$B$40:$AG$40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Outflow!$B$84:$AH$84</c15:sqref>
                  </c15:fullRef>
                </c:ext>
              </c:extLst>
              <c:f>Outflow!$B$84:$AG$84</c:f>
              <c:numCache>
                <c:formatCode>_-* #,##0_-;\-* #,##0_-;_-* "-"??_-;_-@_-</c:formatCode>
                <c:ptCount val="32"/>
                <c:pt idx="6" formatCode="#,##0">
                  <c:v>44832.001694999999</c:v>
                </c:pt>
                <c:pt idx="7" formatCode="#,##0">
                  <c:v>36165.984839999997</c:v>
                </c:pt>
                <c:pt idx="8" formatCode="#,##0">
                  <c:v>36755.656860000003</c:v>
                </c:pt>
                <c:pt idx="9" formatCode="#,##0">
                  <c:v>35097.113824999993</c:v>
                </c:pt>
                <c:pt idx="10" formatCode="#,##0">
                  <c:v>34332.002039999999</c:v>
                </c:pt>
                <c:pt idx="11" formatCode="#,##0">
                  <c:v>35772.42899</c:v>
                </c:pt>
                <c:pt idx="12" formatCode="#,##0">
                  <c:v>38606.541059999996</c:v>
                </c:pt>
                <c:pt idx="13" formatCode="#,##0">
                  <c:v>37182.884620000004</c:v>
                </c:pt>
                <c:pt idx="14" formatCode="#,##0">
                  <c:v>37096.340394999992</c:v>
                </c:pt>
                <c:pt idx="15" formatCode="#,##0">
                  <c:v>36557.657235000006</c:v>
                </c:pt>
                <c:pt idx="16" formatCode="#,##0">
                  <c:v>36162.175625000003</c:v>
                </c:pt>
                <c:pt idx="17" formatCode="#,##0">
                  <c:v>40180.47359999999</c:v>
                </c:pt>
                <c:pt idx="18" formatCode="#,##0">
                  <c:v>35713.468990000008</c:v>
                </c:pt>
                <c:pt idx="19" formatCode="#,##0">
                  <c:v>29750.818084999999</c:v>
                </c:pt>
                <c:pt idx="20" formatCode="#,##0">
                  <c:v>28373.715269999997</c:v>
                </c:pt>
                <c:pt idx="21" formatCode="#,##0">
                  <c:v>33088.944175000004</c:v>
                </c:pt>
                <c:pt idx="22" formatCode="#,##0">
                  <c:v>37649.662355</c:v>
                </c:pt>
                <c:pt idx="23" formatCode="#,##0">
                  <c:v>38243.936125</c:v>
                </c:pt>
                <c:pt idx="24" formatCode="#,##0">
                  <c:v>32731.107115000003</c:v>
                </c:pt>
                <c:pt idx="25" formatCode="#,##0">
                  <c:v>31284.742930000004</c:v>
                </c:pt>
                <c:pt idx="26" formatCode="#,##0">
                  <c:v>33204.276120000002</c:v>
                </c:pt>
                <c:pt idx="27" formatCode="#,##0">
                  <c:v>33327.548450000002</c:v>
                </c:pt>
                <c:pt idx="28" formatCode="#,##0">
                  <c:v>33845.140330000002</c:v>
                </c:pt>
                <c:pt idx="29" formatCode="#,##0">
                  <c:v>34503.217600000004</c:v>
                </c:pt>
                <c:pt idx="30" formatCode="#,##0">
                  <c:v>40289.719965000004</c:v>
                </c:pt>
                <c:pt idx="31" formatCode="#,##0">
                  <c:v>32766.692399999996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E-41F1-9BDD-6EA59DAB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56176"/>
        <c:axId val="202255784"/>
      </c:lineChart>
      <c:catAx>
        <c:axId val="20225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255784"/>
        <c:crosses val="autoZero"/>
        <c:auto val="1"/>
        <c:lblAlgn val="ctr"/>
        <c:lblOffset val="100"/>
        <c:noMultiLvlLbl val="0"/>
      </c:catAx>
      <c:valAx>
        <c:axId val="20225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25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  <a:effectLst/>
              </a:rPr>
              <a:t>DC In to Stock &amp; DC Out from Stock - Impact on Stock inlc. queue </a:t>
            </a:r>
            <a:endParaRPr lang="en-GB" sz="1400" b="1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983313043928717"/>
          <c:y val="5.15150322118826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137719870851265"/>
          <c:y val="0.17171295633500361"/>
          <c:w val="0.83113552711749794"/>
          <c:h val="0.69422082239720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'Handling + Stock'!$A$17</c:f>
              <c:strCache>
                <c:ptCount val="1"/>
                <c:pt idx="0">
                  <c:v> Total DC In to Stock (Queue Corrected)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Stock'!$B$16:$AG$16</c15:sqref>
                  </c15:fullRef>
                </c:ext>
              </c:extLst>
              <c:f>'Handling + Stock'!$B$16:$AG$16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Stock'!$B$17:$U$17</c15:sqref>
                  </c15:fullRef>
                </c:ext>
              </c:extLst>
              <c:f>'Handling + Stock'!$B$17:$U$17</c:f>
              <c:numCache>
                <c:formatCode>_-* #,##0_-;\-* #,##0_-;_-* "-"??_-;_-@_-</c:formatCode>
                <c:ptCount val="20"/>
                <c:pt idx="0">
                  <c:v>17464.036</c:v>
                </c:pt>
                <c:pt idx="1">
                  <c:v>9095.2099999999991</c:v>
                </c:pt>
                <c:pt idx="2">
                  <c:v>10503.363999999998</c:v>
                </c:pt>
                <c:pt idx="3">
                  <c:v>17607.023000000001</c:v>
                </c:pt>
                <c:pt idx="4">
                  <c:v>14166.209000000001</c:v>
                </c:pt>
                <c:pt idx="5">
                  <c:v>11395.806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C-48C9-A9A9-A17695707331}"/>
            </c:ext>
          </c:extLst>
        </c:ser>
        <c:ser>
          <c:idx val="1"/>
          <c:order val="1"/>
          <c:tx>
            <c:strRef>
              <c:f>'Handling + Stock'!$A$18</c:f>
              <c:strCache>
                <c:ptCount val="1"/>
                <c:pt idx="0">
                  <c:v>Total DC Out from Stock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Stock'!$B$16:$AG$16</c15:sqref>
                  </c15:fullRef>
                </c:ext>
              </c:extLst>
              <c:f>'Handling + Stock'!$B$16:$AG$16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Stock'!$B$18:$U$18</c15:sqref>
                  </c15:fullRef>
                </c:ext>
              </c:extLst>
              <c:f>'Handling + Stock'!$B$18:$U$18</c:f>
              <c:numCache>
                <c:formatCode>_-* #,##0_-;\-* #,##0_-;_-* "-"??_-;_-@_-</c:formatCode>
                <c:ptCount val="20"/>
                <c:pt idx="0">
                  <c:v>13934.719000000001</c:v>
                </c:pt>
                <c:pt idx="1">
                  <c:v>13847.957000000002</c:v>
                </c:pt>
                <c:pt idx="2">
                  <c:v>12072.660000000002</c:v>
                </c:pt>
                <c:pt idx="3">
                  <c:v>13101.771000000001</c:v>
                </c:pt>
                <c:pt idx="4">
                  <c:v>14824.096</c:v>
                </c:pt>
                <c:pt idx="5">
                  <c:v>14132.558999999999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C-48C9-A9A9-A17695707331}"/>
            </c:ext>
          </c:extLst>
        </c:ser>
        <c:ser>
          <c:idx val="2"/>
          <c:order val="2"/>
          <c:tx>
            <c:strRef>
              <c:f>'Handling + Stock'!$A$20</c:f>
              <c:strCache>
                <c:ptCount val="1"/>
                <c:pt idx="0">
                  <c:v> Total DC In to Stock (Queue Corrected) Forecast </c:v>
                </c:pt>
              </c:strCache>
            </c:strRef>
          </c:tx>
          <c:spPr>
            <a:pattFill prst="pct80">
              <a:fgClr>
                <a:schemeClr val="accent2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Stock'!$B$16:$AG$16</c15:sqref>
                  </c15:fullRef>
                </c:ext>
              </c:extLst>
              <c:f>'Handling + Stock'!$B$16:$AG$16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Stock'!$B$20:$AH$20</c15:sqref>
                  </c15:fullRef>
                </c:ext>
              </c:extLst>
              <c:f>'Handling + Stock'!$B$20:$AG$20</c:f>
              <c:numCache>
                <c:formatCode>_-* #,##0_-;\-* #,##0_-;_-* "-"??_-;_-@_-</c:formatCode>
                <c:ptCount val="32"/>
                <c:pt idx="6">
                  <c:v>10691.360499999997</c:v>
                </c:pt>
                <c:pt idx="7">
                  <c:v>12591.411881412061</c:v>
                </c:pt>
                <c:pt idx="8">
                  <c:v>9816.422723261705</c:v>
                </c:pt>
                <c:pt idx="9">
                  <c:v>11558.830982508942</c:v>
                </c:pt>
                <c:pt idx="10">
                  <c:v>12722.086804289949</c:v>
                </c:pt>
                <c:pt idx="11">
                  <c:v>12452.173212222573</c:v>
                </c:pt>
                <c:pt idx="12">
                  <c:v>10719.757460599054</c:v>
                </c:pt>
                <c:pt idx="13">
                  <c:v>13246.090074756803</c:v>
                </c:pt>
                <c:pt idx="14">
                  <c:v>11270.433384224656</c:v>
                </c:pt>
                <c:pt idx="15">
                  <c:v>13347.992601662299</c:v>
                </c:pt>
                <c:pt idx="16">
                  <c:v>9557.7071572705609</c:v>
                </c:pt>
                <c:pt idx="17">
                  <c:v>9005.6084723712429</c:v>
                </c:pt>
                <c:pt idx="18">
                  <c:v>10459.950423392678</c:v>
                </c:pt>
                <c:pt idx="19">
                  <c:v>12415.626405312536</c:v>
                </c:pt>
                <c:pt idx="20">
                  <c:v>12021.141149145486</c:v>
                </c:pt>
                <c:pt idx="21">
                  <c:v>12413.763077752263</c:v>
                </c:pt>
                <c:pt idx="22">
                  <c:v>12822.596300086117</c:v>
                </c:pt>
                <c:pt idx="23">
                  <c:v>13275.147704868352</c:v>
                </c:pt>
                <c:pt idx="24">
                  <c:v>11291.12443474803</c:v>
                </c:pt>
                <c:pt idx="25">
                  <c:v>10589.557039204816</c:v>
                </c:pt>
                <c:pt idx="26">
                  <c:v>11731.237255467207</c:v>
                </c:pt>
                <c:pt idx="27">
                  <c:v>14005.410121438706</c:v>
                </c:pt>
                <c:pt idx="28">
                  <c:v>13519.746505772275</c:v>
                </c:pt>
                <c:pt idx="29">
                  <c:v>12613.55309153901</c:v>
                </c:pt>
                <c:pt idx="30">
                  <c:v>13414.413512573394</c:v>
                </c:pt>
                <c:pt idx="31">
                  <c:v>12304.597055613463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C-48C9-A9A9-A17695707331}"/>
            </c:ext>
          </c:extLst>
        </c:ser>
        <c:ser>
          <c:idx val="3"/>
          <c:order val="3"/>
          <c:tx>
            <c:strRef>
              <c:f>'Handling + Stock'!$A$21</c:f>
              <c:strCache>
                <c:ptCount val="1"/>
                <c:pt idx="0">
                  <c:v> Total DC Out from Stock Forecast </c:v>
                </c:pt>
              </c:strCache>
            </c:strRef>
          </c:tx>
          <c:spPr>
            <a:pattFill prst="pct80">
              <a:fgClr>
                <a:schemeClr val="accent6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Stock'!$B$16:$AG$16</c15:sqref>
                  </c15:fullRef>
                </c:ext>
              </c:extLst>
              <c:f>'Handling + Stock'!$B$16:$AG$16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Stock'!$B$21:$AH$21</c15:sqref>
                  </c15:fullRef>
                </c:ext>
              </c:extLst>
              <c:f>'Handling + Stock'!$B$21:$AG$21</c:f>
              <c:numCache>
                <c:formatCode>_-* #,##0_-;\-* #,##0_-;_-* "-"??_-;_-@_-</c:formatCode>
                <c:ptCount val="32"/>
                <c:pt idx="6">
                  <c:v>16906.350000000002</c:v>
                </c:pt>
                <c:pt idx="7">
                  <c:v>14087.160000000002</c:v>
                </c:pt>
                <c:pt idx="8">
                  <c:v>13201.800000000003</c:v>
                </c:pt>
                <c:pt idx="9">
                  <c:v>13292.889999999998</c:v>
                </c:pt>
                <c:pt idx="10">
                  <c:v>13156.079999999998</c:v>
                </c:pt>
                <c:pt idx="11">
                  <c:v>13079.739999999998</c:v>
                </c:pt>
                <c:pt idx="12">
                  <c:v>14208.36</c:v>
                </c:pt>
                <c:pt idx="13">
                  <c:v>13834.520000000002</c:v>
                </c:pt>
                <c:pt idx="14">
                  <c:v>13612.67</c:v>
                </c:pt>
                <c:pt idx="15">
                  <c:v>13336.11</c:v>
                </c:pt>
                <c:pt idx="16">
                  <c:v>13399.449999999999</c:v>
                </c:pt>
                <c:pt idx="17">
                  <c:v>15513.6</c:v>
                </c:pt>
                <c:pt idx="18">
                  <c:v>13394.54</c:v>
                </c:pt>
                <c:pt idx="19">
                  <c:v>10962.609999999999</c:v>
                </c:pt>
                <c:pt idx="20">
                  <c:v>10137.419999999998</c:v>
                </c:pt>
                <c:pt idx="21">
                  <c:v>11772.950000000003</c:v>
                </c:pt>
                <c:pt idx="22">
                  <c:v>14316.430000000002</c:v>
                </c:pt>
                <c:pt idx="23">
                  <c:v>14715.650000000003</c:v>
                </c:pt>
                <c:pt idx="24">
                  <c:v>14092.19</c:v>
                </c:pt>
                <c:pt idx="25">
                  <c:v>12491.780000000002</c:v>
                </c:pt>
                <c:pt idx="26">
                  <c:v>12639.119999999999</c:v>
                </c:pt>
                <c:pt idx="27">
                  <c:v>12462.1</c:v>
                </c:pt>
                <c:pt idx="28">
                  <c:v>12624.98</c:v>
                </c:pt>
                <c:pt idx="29">
                  <c:v>12910.399999999998</c:v>
                </c:pt>
                <c:pt idx="30">
                  <c:v>15645.09</c:v>
                </c:pt>
                <c:pt idx="31">
                  <c:v>12330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AC-48C9-A9A9-A17695707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2256960"/>
        <c:axId val="202257352"/>
      </c:barChart>
      <c:lineChart>
        <c:grouping val="standard"/>
        <c:varyColors val="0"/>
        <c:ser>
          <c:idx val="4"/>
          <c:order val="4"/>
          <c:tx>
            <c:strRef>
              <c:f>'Handling + Stock'!$A$19</c:f>
              <c:strCache>
                <c:ptCount val="1"/>
                <c:pt idx="0">
                  <c:v>Stock incl. Queue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Stock'!$B$16:$AH$16</c15:sqref>
                  </c15:fullRef>
                </c:ext>
              </c:extLst>
              <c:f>'Handling + Stock'!$B$16:$AG$16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Stock'!$B$19:$U$19</c15:sqref>
                  </c15:fullRef>
                </c:ext>
              </c:extLst>
              <c:f>'Handling + Stock'!$B$19:$U$19</c:f>
              <c:numCache>
                <c:formatCode>_-* #,##0_-;\-* #,##0_-;_-* "-"??_-;_-@_-</c:formatCode>
                <c:ptCount val="20"/>
                <c:pt idx="0">
                  <c:v>148897</c:v>
                </c:pt>
                <c:pt idx="1">
                  <c:v>143924</c:v>
                </c:pt>
                <c:pt idx="2">
                  <c:v>142737</c:v>
                </c:pt>
                <c:pt idx="3">
                  <c:v>147818</c:v>
                </c:pt>
                <c:pt idx="4">
                  <c:v>145588</c:v>
                </c:pt>
                <c:pt idx="5">
                  <c:v>143845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AC-48C9-A9A9-A17695707331}"/>
            </c:ext>
          </c:extLst>
        </c:ser>
        <c:ser>
          <c:idx val="5"/>
          <c:order val="5"/>
          <c:tx>
            <c:strRef>
              <c:f>'Handling + Stock'!$A$22</c:f>
              <c:strCache>
                <c:ptCount val="1"/>
                <c:pt idx="0">
                  <c:v> Stock incl. Queue Forecast 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Stock'!$B$16:$AH$16</c15:sqref>
                  </c15:fullRef>
                </c:ext>
              </c:extLst>
              <c:f>'Handling + Stock'!$B$16:$AG$16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Stock'!$B$22:$AH$22</c15:sqref>
                  </c15:fullRef>
                </c:ext>
              </c:extLst>
              <c:f>'Handling + Stock'!$B$22:$AG$22</c:f>
              <c:numCache>
                <c:formatCode>_-* #,##0_-;\-* #,##0_-;_-* "-"??_-;_-@_-</c:formatCode>
                <c:ptCount val="32"/>
                <c:pt idx="6">
                  <c:v>137630.01049999997</c:v>
                </c:pt>
                <c:pt idx="7">
                  <c:v>136134.26238141203</c:v>
                </c:pt>
                <c:pt idx="8">
                  <c:v>132748.88510467374</c:v>
                </c:pt>
                <c:pt idx="9">
                  <c:v>131014.82608718269</c:v>
                </c:pt>
                <c:pt idx="10">
                  <c:v>130580.83289147263</c:v>
                </c:pt>
                <c:pt idx="11">
                  <c:v>129953.2661036952</c:v>
                </c:pt>
                <c:pt idx="12">
                  <c:v>126464.66356429426</c:v>
                </c:pt>
                <c:pt idx="13">
                  <c:v>125876.23363905106</c:v>
                </c:pt>
                <c:pt idx="14">
                  <c:v>123533.99702327572</c:v>
                </c:pt>
                <c:pt idx="15">
                  <c:v>123545.87962493801</c:v>
                </c:pt>
                <c:pt idx="16">
                  <c:v>119704.13678220857</c:v>
                </c:pt>
                <c:pt idx="17">
                  <c:v>113196.14525457981</c:v>
                </c:pt>
                <c:pt idx="18">
                  <c:v>110261.5556779725</c:v>
                </c:pt>
                <c:pt idx="19">
                  <c:v>111714.57208328503</c:v>
                </c:pt>
                <c:pt idx="20">
                  <c:v>113598.29323243051</c:v>
                </c:pt>
                <c:pt idx="21">
                  <c:v>114239.10631018277</c:v>
                </c:pt>
                <c:pt idx="22">
                  <c:v>112745.2726102689</c:v>
                </c:pt>
                <c:pt idx="23">
                  <c:v>111304.77031513726</c:v>
                </c:pt>
                <c:pt idx="24">
                  <c:v>108503.70474988528</c:v>
                </c:pt>
                <c:pt idx="25">
                  <c:v>106601.48178909009</c:v>
                </c:pt>
                <c:pt idx="26">
                  <c:v>105693.59904455731</c:v>
                </c:pt>
                <c:pt idx="27">
                  <c:v>107236.90916599601</c:v>
                </c:pt>
                <c:pt idx="28">
                  <c:v>108131.67567176829</c:v>
                </c:pt>
                <c:pt idx="29">
                  <c:v>107834.82876330731</c:v>
                </c:pt>
                <c:pt idx="30">
                  <c:v>105604.1522758807</c:v>
                </c:pt>
                <c:pt idx="31">
                  <c:v>105578.74933149417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AC-48C9-A9A9-A17695707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257744"/>
        <c:axId val="202258136"/>
      </c:lineChart>
      <c:catAx>
        <c:axId val="20225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257352"/>
        <c:crosses val="autoZero"/>
        <c:auto val="1"/>
        <c:lblAlgn val="ctr"/>
        <c:lblOffset val="100"/>
        <c:noMultiLvlLbl val="0"/>
      </c:catAx>
      <c:valAx>
        <c:axId val="20225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aseline="0"/>
                  <a:t>m3 (flow)</a:t>
                </a:r>
              </a:p>
            </c:rich>
          </c:tx>
          <c:layout>
            <c:manualLayout>
              <c:xMode val="edge"/>
              <c:yMode val="edge"/>
              <c:x val="0.11523484941734966"/>
              <c:y val="0.34962134733158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solidFill>
              <a:sysClr val="windowText" lastClr="000000">
                <a:alpha val="98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256960"/>
        <c:crosses val="autoZero"/>
        <c:crossBetween val="between"/>
      </c:valAx>
      <c:valAx>
        <c:axId val="202258136"/>
        <c:scaling>
          <c:orientation val="minMax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aseline="0"/>
                  <a:t>m3 (stock)</a:t>
                </a:r>
                <a:endParaRPr lang="en-GB" sz="1200"/>
              </a:p>
            </c:rich>
          </c:tx>
          <c:layout>
            <c:manualLayout>
              <c:xMode val="edge"/>
              <c:yMode val="edge"/>
              <c:x val="0.99067898690771672"/>
              <c:y val="0.333312335958005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_-;\-* #,##0_-;_-* &quot;-&quot;??_-;_-@_-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257744"/>
        <c:crosses val="max"/>
        <c:crossBetween val="between"/>
      </c:valAx>
      <c:catAx>
        <c:axId val="202257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258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437778817313689E-3"/>
          <c:y val="0.14695783027121612"/>
          <c:w val="0.11455018320032702"/>
          <c:h val="0.460230493915533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  <a:effectLst/>
              </a:rPr>
              <a:t>Total Handling (queue corrected) w/ Handling Capacity </a:t>
            </a:r>
            <a:endParaRPr lang="en-GB" sz="1400" b="1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8478619617401838"/>
          <c:y val="4.0900026742570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240482307868413"/>
          <c:y val="0.12870222673778681"/>
          <c:w val="0.83125961110851321"/>
          <c:h val="0.773790703581407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'Handling + Stock'!$A$42</c:f>
              <c:strCache>
                <c:ptCount val="1"/>
                <c:pt idx="0">
                  <c:v> Total Handling (Queue Corrected)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1C1EACF-6AFA-48E6-A034-991CB88A29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6F9-4372-BA65-6C54077012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DBC672-34CA-477E-98FE-8AE1C99DA7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6F9-4372-BA65-6C54077012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A7CEE3-4A54-41CC-AE0E-728F38096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6F9-4372-BA65-6C54077012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E44D72A-5C50-4CBE-B78B-E10B2A266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6F9-4372-BA65-6C54077012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636733-5FF8-4E02-AE97-8618F7A5F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6F9-4372-BA65-6C54077012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1058B1D-AB87-435A-94A6-49F3854D0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6F9-4372-BA65-6C54077012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6F9-4372-BA65-6C54077012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6F9-4372-BA65-6C54077012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6F9-4372-BA65-6C54077012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6F9-4372-BA65-6C54077012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6F9-4372-BA65-6C540770124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56F9-4372-BA65-6C540770124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56F9-4372-BA65-6C54077012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56F9-4372-BA65-6C54077012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6F9-4372-BA65-6C54077012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6F9-4372-BA65-6C54077012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6F9-4372-BA65-6C540770124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56F9-4372-BA65-6C540770124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1A7-4389-ACAA-FCD3FC87B4F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1A7-4389-ACAA-FCD3FC87B4F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1A7-4389-ACAA-FCD3FC87B4F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1A7-4389-ACAA-FCD3FC87B4F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1A7-4389-ACAA-FCD3FC87B4F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1A7-4389-ACAA-FCD3FC87B4F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1A7-4389-ACAA-FCD3FC87B4F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1A7-4389-ACAA-FCD3FC87B4F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1A7-4389-ACAA-FCD3FC87B4F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1A7-4389-ACAA-FCD3FC87B4F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1A7-4389-ACAA-FCD3FC87B4F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1A7-4389-ACAA-FCD3FC87B4F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1A7-4389-ACAA-FCD3FC87B4F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1A7-4389-ACAA-FCD3FC87B4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Stock'!$B$41:$AH$41</c15:sqref>
                  </c15:fullRef>
                </c:ext>
              </c:extLst>
              <c:f>'Handling + Stock'!$B$41:$AG$41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Stock'!$B$42:$AG$42</c15:sqref>
                  </c15:fullRef>
                </c:ext>
              </c:extLst>
              <c:f>'Handling + Stock'!$B$42:$AG$42</c:f>
              <c:numCache>
                <c:formatCode>_-* #,##0_-;\-* #,##0_-;_-* "-"??_-;_-@_-</c:formatCode>
                <c:ptCount val="32"/>
                <c:pt idx="0">
                  <c:v>44895.250000000007</c:v>
                </c:pt>
                <c:pt idx="1">
                  <c:v>38654.864000000001</c:v>
                </c:pt>
                <c:pt idx="2">
                  <c:v>39220.243000000002</c:v>
                </c:pt>
                <c:pt idx="3">
                  <c:v>45977.423999999999</c:v>
                </c:pt>
                <c:pt idx="4">
                  <c:v>45315.777000000016</c:v>
                </c:pt>
                <c:pt idx="5">
                  <c:v>40617.122999999992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'Handling + Stock'!$B$44:$G$44</c15:f>
                <c15:dlblRangeCache>
                  <c:ptCount val="6"/>
                  <c:pt idx="0">
                    <c:v>72%</c:v>
                  </c:pt>
                  <c:pt idx="1">
                    <c:v>62%</c:v>
                  </c:pt>
                  <c:pt idx="2">
                    <c:v>63%</c:v>
                  </c:pt>
                  <c:pt idx="3">
                    <c:v>73%</c:v>
                  </c:pt>
                  <c:pt idx="4">
                    <c:v>72%</c:v>
                  </c:pt>
                  <c:pt idx="5">
                    <c:v>65%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56F9-4372-BA65-6C540770124E}"/>
            </c:ext>
          </c:extLst>
        </c:ser>
        <c:ser>
          <c:idx val="1"/>
          <c:order val="1"/>
          <c:tx>
            <c:strRef>
              <c:f>'Handling + Stock'!$A$45</c:f>
              <c:strCache>
                <c:ptCount val="1"/>
                <c:pt idx="0">
                  <c:v> Total Handling (Queue Corrected) Forecast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6F9-4372-BA65-6C54077012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6F9-4372-BA65-6C54077012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56F9-4372-BA65-6C54077012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56F9-4372-BA65-6C54077012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56F9-4372-BA65-6C54077012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6F9-4372-BA65-6C54077012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BD73535-B7AD-431B-93D6-2B57042C5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6F9-4372-BA65-6C54077012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2BB1592-C8CB-4D23-8AA2-F329370EA8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6F9-4372-BA65-6C54077012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9F1E4F7-15CA-4E70-A077-10818CECD9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6F9-4372-BA65-6C54077012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5A4E97-963B-49B8-87CB-EBB6701F2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6F9-4372-BA65-6C54077012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AD8E21C-1EB1-422C-A6BE-1E22AC1525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6F9-4372-BA65-6C540770124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4D97C10-E16A-4494-A152-D814FE6204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6F9-4372-BA65-6C540770124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E47D5A6-831C-4B65-9838-BCC5D050F9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6F9-4372-BA65-6C54077012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3C9868A-88C3-491E-823E-4D1BF462C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6F9-4372-BA65-6C54077012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B7C6978-7204-4BFE-A174-53E5F99238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6F9-4372-BA65-6C540770124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C228362-07FE-4410-B835-9453F9710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6F9-4372-BA65-6C54077012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2671327-7159-4833-A8A1-E3C699F5D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6F9-4372-BA65-6C540770124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CCDB153-547F-4FBE-8148-E76548A89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6F9-4372-BA65-6C540770124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3229884-4A9A-4285-8F65-43D37115D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6F9-4372-BA65-6C540770124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94C30D4-A5E7-47F0-BD21-42F1152555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6F9-4372-BA65-6C540770124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CB293A9-B230-4395-921F-3D6CF0581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ACB-49C1-A930-0F1FDD93B49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45A71CE-184B-40C4-92A7-225F9A50D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ACB-49C1-A930-0F1FDD93B49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04389EE-9DDD-4AC8-BDDC-39D931772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ACB-49C1-A930-0F1FDD93B49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5F7364C-E1C6-48EA-8218-61292327CB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ACB-49C1-A930-0F1FDD93B49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102572A-B58F-41E0-A8E9-BBBF0F816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ACB-49C1-A930-0F1FDD93B49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5B7008A-2B06-4BDF-96F1-C8CC6C6F5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ACB-49C1-A930-0F1FDD93B49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0011B97-3BDC-4377-B04C-C629F439D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CB-49C1-A930-0F1FDD93B49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820B1AC-6090-4268-94E8-CEB5E7DE3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ACB-49C1-A930-0F1FDD93B49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1ED5CDD-4A4D-49A7-B241-71EB35F58E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ACB-49C1-A930-0F1FDD93B49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1C0892B-6BC4-4146-BE10-AD0A7640F9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ACB-49C1-A930-0F1FDD93B49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1274DC5-A169-4640-8409-8DEF32A5EC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CB-49C1-A930-0F1FDD93B49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3FC4EEF-E39B-415A-A35D-9F053CED8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ACB-49C1-A930-0F1FDD93B4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Stock'!$B$41:$AH$41</c15:sqref>
                  </c15:fullRef>
                </c:ext>
              </c:extLst>
              <c:f>'Handling + Stock'!$B$41:$AG$41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Stock'!$B$45:$AG$45</c15:sqref>
                  </c15:fullRef>
                </c:ext>
              </c:extLst>
              <c:f>'Handling + Stock'!$B$45:$AG$45</c:f>
              <c:numCache>
                <c:formatCode>_-* #,##0_-;\-* #,##0_-;_-* "-"??_-;_-@_-</c:formatCode>
                <c:ptCount val="32"/>
                <c:pt idx="6">
                  <c:v>49964.575499999984</c:v>
                </c:pt>
                <c:pt idx="7">
                  <c:v>43422.197881412052</c:v>
                </c:pt>
                <c:pt idx="8">
                  <c:v>43253.434723261715</c:v>
                </c:pt>
                <c:pt idx="9">
                  <c:v>42191.392982508929</c:v>
                </c:pt>
                <c:pt idx="10">
                  <c:v>42398.278804289948</c:v>
                </c:pt>
                <c:pt idx="11">
                  <c:v>44558.773212222572</c:v>
                </c:pt>
                <c:pt idx="12">
                  <c:v>45195.797460599053</c:v>
                </c:pt>
                <c:pt idx="13">
                  <c:v>46167.610074756813</c:v>
                </c:pt>
                <c:pt idx="14">
                  <c:v>44473.103384224662</c:v>
                </c:pt>
                <c:pt idx="15">
                  <c:v>46217.342601662313</c:v>
                </c:pt>
                <c:pt idx="16">
                  <c:v>41679.817157270569</c:v>
                </c:pt>
                <c:pt idx="17">
                  <c:v>43517.608472371241</c:v>
                </c:pt>
                <c:pt idx="18">
                  <c:v>41879.090423392685</c:v>
                </c:pt>
                <c:pt idx="19">
                  <c:v>38958.096405312535</c:v>
                </c:pt>
                <c:pt idx="20">
                  <c:v>37934.461149145485</c:v>
                </c:pt>
                <c:pt idx="21">
                  <c:v>42726.133077752267</c:v>
                </c:pt>
                <c:pt idx="22">
                  <c:v>45575.906300086106</c:v>
                </c:pt>
                <c:pt idx="23">
                  <c:v>46218.617704868338</c:v>
                </c:pt>
                <c:pt idx="24">
                  <c:v>36660.234434748025</c:v>
                </c:pt>
                <c:pt idx="25">
                  <c:v>36682.037039204821</c:v>
                </c:pt>
                <c:pt idx="26">
                  <c:v>40592.637255467213</c:v>
                </c:pt>
                <c:pt idx="27">
                  <c:v>43396.430121438709</c:v>
                </c:pt>
                <c:pt idx="28">
                  <c:v>43425.06650577228</c:v>
                </c:pt>
                <c:pt idx="29">
                  <c:v>43024.993091539014</c:v>
                </c:pt>
                <c:pt idx="30">
                  <c:v>47851.763512573394</c:v>
                </c:pt>
                <c:pt idx="31">
                  <c:v>41054.577055613467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'Handling + Stock'!$B$47:$AG$47</c15:f>
                <c15:dlblRangeCache>
                  <c:ptCount val="32"/>
                  <c:pt idx="6">
                    <c:v>80%</c:v>
                  </c:pt>
                  <c:pt idx="7">
                    <c:v>69%</c:v>
                  </c:pt>
                  <c:pt idx="8">
                    <c:v>69%</c:v>
                  </c:pt>
                  <c:pt idx="9">
                    <c:v>67%</c:v>
                  </c:pt>
                  <c:pt idx="10">
                    <c:v>68%</c:v>
                  </c:pt>
                  <c:pt idx="11">
                    <c:v>71%</c:v>
                  </c:pt>
                  <c:pt idx="12">
                    <c:v>72%</c:v>
                  </c:pt>
                  <c:pt idx="13">
                    <c:v>74%</c:v>
                  </c:pt>
                  <c:pt idx="14">
                    <c:v>71%</c:v>
                  </c:pt>
                  <c:pt idx="15">
                    <c:v>74%</c:v>
                  </c:pt>
                  <c:pt idx="16">
                    <c:v>67%</c:v>
                  </c:pt>
                  <c:pt idx="17">
                    <c:v>70%</c:v>
                  </c:pt>
                  <c:pt idx="18">
                    <c:v>67%</c:v>
                  </c:pt>
                  <c:pt idx="19">
                    <c:v>62%</c:v>
                  </c:pt>
                  <c:pt idx="20">
                    <c:v>61%</c:v>
                  </c:pt>
                  <c:pt idx="21">
                    <c:v>68%</c:v>
                  </c:pt>
                  <c:pt idx="22">
                    <c:v>73%</c:v>
                  </c:pt>
                  <c:pt idx="23">
                    <c:v>74%</c:v>
                  </c:pt>
                  <c:pt idx="24">
                    <c:v>59%</c:v>
                  </c:pt>
                  <c:pt idx="25">
                    <c:v>59%</c:v>
                  </c:pt>
                  <c:pt idx="26">
                    <c:v>65%</c:v>
                  </c:pt>
                  <c:pt idx="27">
                    <c:v>69%</c:v>
                  </c:pt>
                  <c:pt idx="28">
                    <c:v>69%</c:v>
                  </c:pt>
                  <c:pt idx="29">
                    <c:v>69%</c:v>
                  </c:pt>
                  <c:pt idx="30">
                    <c:v>76%</c:v>
                  </c:pt>
                  <c:pt idx="31">
                    <c:v>66%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56F9-4372-BA65-6C540770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42592024"/>
        <c:axId val="878327152"/>
      </c:barChart>
      <c:lineChart>
        <c:grouping val="standard"/>
        <c:varyColors val="0"/>
        <c:ser>
          <c:idx val="2"/>
          <c:order val="2"/>
          <c:tx>
            <c:strRef>
              <c:f>'Handling + Stock'!$A$43</c:f>
              <c:strCache>
                <c:ptCount val="1"/>
                <c:pt idx="0">
                  <c:v>Total Upside Handling Capacity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Stock'!$B$41:$AH$41</c15:sqref>
                  </c15:fullRef>
                </c:ext>
              </c:extLst>
              <c:f>'Handling + Stock'!$B$41:$AG$41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Stock'!$B$43:$AG$43</c15:sqref>
                  </c15:fullRef>
                </c:ext>
              </c:extLst>
              <c:f>'Handling + Stock'!$B$43:$AG$43</c:f>
              <c:numCache>
                <c:formatCode>_-* #,##0_-;\-* #,##0_-;_-* "-"??_-;_-@_-</c:formatCode>
                <c:ptCount val="32"/>
                <c:pt idx="0">
                  <c:v>62559.993999999984</c:v>
                </c:pt>
                <c:pt idx="1">
                  <c:v>62559.993999999992</c:v>
                </c:pt>
                <c:pt idx="2">
                  <c:v>62559.993999999984</c:v>
                </c:pt>
                <c:pt idx="3">
                  <c:v>62559.993999999984</c:v>
                </c:pt>
                <c:pt idx="4">
                  <c:v>62559.993999999984</c:v>
                </c:pt>
                <c:pt idx="5">
                  <c:v>62559.993999999984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6F9-4372-BA65-6C540770124E}"/>
            </c:ext>
          </c:extLst>
        </c:ser>
        <c:ser>
          <c:idx val="3"/>
          <c:order val="3"/>
          <c:tx>
            <c:strRef>
              <c:f>'Handling + Stock'!$A$46</c:f>
              <c:strCache>
                <c:ptCount val="1"/>
                <c:pt idx="0">
                  <c:v> Total Upside Handling Capacity Forecast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Stock'!$B$41:$AH$41</c15:sqref>
                  </c15:fullRef>
                </c:ext>
              </c:extLst>
              <c:f>'Handling + Stock'!$B$41:$AG$41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Stock'!$B$46:$AG$46</c15:sqref>
                  </c15:fullRef>
                </c:ext>
              </c:extLst>
              <c:f>'Handling + Stock'!$B$46:$AG$46</c:f>
              <c:numCache>
                <c:formatCode>_-* #,##0_-;\-* #,##0_-;_-* "-"??_-;_-@_-</c:formatCode>
                <c:ptCount val="32"/>
                <c:pt idx="6">
                  <c:v>62559.993999999984</c:v>
                </c:pt>
                <c:pt idx="7">
                  <c:v>62559.993999999984</c:v>
                </c:pt>
                <c:pt idx="8">
                  <c:v>62559.993999999984</c:v>
                </c:pt>
                <c:pt idx="9">
                  <c:v>62559.993999999984</c:v>
                </c:pt>
                <c:pt idx="10">
                  <c:v>62559.993999999984</c:v>
                </c:pt>
                <c:pt idx="11">
                  <c:v>62559.993999999984</c:v>
                </c:pt>
                <c:pt idx="12">
                  <c:v>62559.993999999984</c:v>
                </c:pt>
                <c:pt idx="13">
                  <c:v>62559.993999999984</c:v>
                </c:pt>
                <c:pt idx="14">
                  <c:v>62559.993999999984</c:v>
                </c:pt>
                <c:pt idx="15">
                  <c:v>62559.993999999984</c:v>
                </c:pt>
                <c:pt idx="16">
                  <c:v>62559.993999999999</c:v>
                </c:pt>
                <c:pt idx="17">
                  <c:v>62559.993999999984</c:v>
                </c:pt>
                <c:pt idx="18">
                  <c:v>62559.993999999984</c:v>
                </c:pt>
                <c:pt idx="19">
                  <c:v>62559.993999999984</c:v>
                </c:pt>
                <c:pt idx="20">
                  <c:v>62559.993999999984</c:v>
                </c:pt>
                <c:pt idx="21">
                  <c:v>62559.993999999984</c:v>
                </c:pt>
                <c:pt idx="22">
                  <c:v>62559.993999999984</c:v>
                </c:pt>
                <c:pt idx="23">
                  <c:v>62559.993999999984</c:v>
                </c:pt>
                <c:pt idx="24">
                  <c:v>62559.993999999984</c:v>
                </c:pt>
                <c:pt idx="25">
                  <c:v>62559.993999999984</c:v>
                </c:pt>
                <c:pt idx="26">
                  <c:v>62559.993999999984</c:v>
                </c:pt>
                <c:pt idx="27">
                  <c:v>62559.993999999984</c:v>
                </c:pt>
                <c:pt idx="28">
                  <c:v>62559.993999999984</c:v>
                </c:pt>
                <c:pt idx="29">
                  <c:v>62559.993999999984</c:v>
                </c:pt>
                <c:pt idx="30">
                  <c:v>62559.993999999984</c:v>
                </c:pt>
                <c:pt idx="31">
                  <c:v>62559.993999999984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6F9-4372-BA65-6C5407701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592024"/>
        <c:axId val="878327152"/>
      </c:lineChart>
      <c:catAx>
        <c:axId val="242592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27152"/>
        <c:crosses val="autoZero"/>
        <c:auto val="1"/>
        <c:lblAlgn val="ctr"/>
        <c:lblOffset val="100"/>
        <c:noMultiLvlLbl val="0"/>
      </c:catAx>
      <c:valAx>
        <c:axId val="8783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m3 (flow)</a:t>
                </a:r>
              </a:p>
            </c:rich>
          </c:tx>
          <c:layout>
            <c:manualLayout>
              <c:xMode val="edge"/>
              <c:yMode val="edge"/>
              <c:x val="0.11264744455084937"/>
              <c:y val="0.40486811023622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259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1485565397843472E-3"/>
          <c:y val="0.23074278215223096"/>
          <c:w val="0.1093160321740998"/>
          <c:h val="0.48541863517060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  <a:effectLst/>
              </a:rPr>
              <a:t>Stock in DC + Ext w/ Storage Capacity</a:t>
            </a:r>
            <a:endParaRPr lang="en-GB" sz="1400" b="1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0572929019906856"/>
          <c:y val="4.5977011494252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19309703684771"/>
          <c:y val="0.14559245569508564"/>
          <c:w val="0.83221294203889551"/>
          <c:h val="0.75858865055661151"/>
        </c:manualLayout>
      </c:layout>
      <c:lineChart>
        <c:grouping val="standard"/>
        <c:varyColors val="0"/>
        <c:ser>
          <c:idx val="0"/>
          <c:order val="0"/>
          <c:tx>
            <c:strRef>
              <c:f>'Handling + Stock'!$A$68</c:f>
              <c:strCache>
                <c:ptCount val="1"/>
                <c:pt idx="0">
                  <c:v> Stock in DC + Ext. Storage 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17647058823529418"/>
                </c:manualLayout>
              </c:layout>
              <c:tx>
                <c:rich>
                  <a:bodyPr/>
                  <a:lstStyle/>
                  <a:p>
                    <a:fld id="{91762C50-D5B6-4BDC-B115-98C30316E3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68-4B82-B500-CF50539D1458}"/>
                </c:ext>
              </c:extLst>
            </c:dLbl>
            <c:dLbl>
              <c:idx val="1"/>
              <c:layout>
                <c:manualLayout>
                  <c:x val="-3.0885507271978704E-17"/>
                  <c:y val="0.15294117647058816"/>
                </c:manualLayout>
              </c:layout>
              <c:tx>
                <c:rich>
                  <a:bodyPr/>
                  <a:lstStyle/>
                  <a:p>
                    <a:fld id="{7AFA819A-66BB-4DEC-9242-CD2894C0E6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968-4B82-B500-CF50539D1458}"/>
                </c:ext>
              </c:extLst>
            </c:dLbl>
            <c:dLbl>
              <c:idx val="2"/>
              <c:layout>
                <c:manualLayout>
                  <c:x val="-8.423417471998438E-4"/>
                  <c:y val="0.11764705882352941"/>
                </c:manualLayout>
              </c:layout>
              <c:tx>
                <c:rich>
                  <a:bodyPr/>
                  <a:lstStyle/>
                  <a:p>
                    <a:fld id="{1221B9E9-1CFA-4ADD-BC1E-756D7B62F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968-4B82-B500-CF50539D1458}"/>
                </c:ext>
              </c:extLst>
            </c:dLbl>
            <c:dLbl>
              <c:idx val="3"/>
              <c:layout>
                <c:manualLayout>
                  <c:x val="0"/>
                  <c:y val="0.10196078431372549"/>
                </c:manualLayout>
              </c:layout>
              <c:tx>
                <c:rich>
                  <a:bodyPr/>
                  <a:lstStyle/>
                  <a:p>
                    <a:fld id="{FEBC1CD1-EF3D-4C35-972D-4DF3ECF52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968-4B82-B500-CF50539D1458}"/>
                </c:ext>
              </c:extLst>
            </c:dLbl>
            <c:dLbl>
              <c:idx val="4"/>
              <c:layout>
                <c:manualLayout>
                  <c:x val="-4.2117087359992188E-3"/>
                  <c:y val="9.0196078431372548E-2"/>
                </c:manualLayout>
              </c:layout>
              <c:tx>
                <c:rich>
                  <a:bodyPr/>
                  <a:lstStyle/>
                  <a:p>
                    <a:fld id="{65FF74CD-5D61-4A21-BD64-253E7D859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968-4B82-B500-CF50539D1458}"/>
                </c:ext>
              </c:extLst>
            </c:dLbl>
            <c:dLbl>
              <c:idx val="5"/>
              <c:layout>
                <c:manualLayout>
                  <c:x val="-1.1792784460797814E-2"/>
                  <c:y val="7.8431372549019537E-2"/>
                </c:manualLayout>
              </c:layout>
              <c:tx>
                <c:rich>
                  <a:bodyPr/>
                  <a:lstStyle/>
                  <a:p>
                    <a:fld id="{9BCE20DD-05A9-4EB5-A8C6-40F08CE8B5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968-4B82-B500-CF50539D145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968-4B82-B500-CF50539D145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968-4B82-B500-CF50539D145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968-4B82-B500-CF50539D145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968-4B82-B500-CF50539D145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968-4B82-B500-CF50539D145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4968-4B82-B500-CF50539D145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968-4B82-B500-CF50539D145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968-4B82-B500-CF50539D14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4968-4B82-B500-CF50539D145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4968-4B82-B500-CF50539D145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968-4B82-B500-CF50539D145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968-4B82-B500-CF50539D14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Stock'!$B$67:$AH$67</c15:sqref>
                  </c15:fullRef>
                </c:ext>
              </c:extLst>
              <c:f>'Handling + Stock'!$B$67:$AG$67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Stock'!$B$68:$S$68</c15:sqref>
                  </c15:fullRef>
                </c:ext>
              </c:extLst>
              <c:f>'Handling + Stock'!$B$68:$S$68</c:f>
              <c:numCache>
                <c:formatCode>_-* #,##0_-;\-* #,##0_-;_-* "-"??_-;_-@_-</c:formatCode>
                <c:ptCount val="18"/>
                <c:pt idx="0">
                  <c:v>125185</c:v>
                </c:pt>
                <c:pt idx="1">
                  <c:v>122834</c:v>
                </c:pt>
                <c:pt idx="2">
                  <c:v>121419</c:v>
                </c:pt>
                <c:pt idx="3">
                  <c:v>118919</c:v>
                </c:pt>
                <c:pt idx="4">
                  <c:v>113098</c:v>
                </c:pt>
                <c:pt idx="5">
                  <c:v>110329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'Handling + Stock'!$B$70:$G$70</c15:f>
                <c15:dlblRangeCache>
                  <c:ptCount val="6"/>
                  <c:pt idx="0">
                    <c:v>65%</c:v>
                  </c:pt>
                  <c:pt idx="1">
                    <c:v>63%</c:v>
                  </c:pt>
                  <c:pt idx="2">
                    <c:v>63%</c:v>
                  </c:pt>
                  <c:pt idx="3">
                    <c:v>61%</c:v>
                  </c:pt>
                  <c:pt idx="4">
                    <c:v>58%</c:v>
                  </c:pt>
                  <c:pt idx="5">
                    <c:v>57%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4968-4B82-B500-CF50539D1458}"/>
            </c:ext>
          </c:extLst>
        </c:ser>
        <c:ser>
          <c:idx val="1"/>
          <c:order val="1"/>
          <c:tx>
            <c:strRef>
              <c:f>'Handling + Stock'!$A$69</c:f>
              <c:strCache>
                <c:ptCount val="1"/>
                <c:pt idx="0">
                  <c:v>Total DC Storage Capacity (incl. external)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Stock'!$B$67:$AH$67</c15:sqref>
                  </c15:fullRef>
                </c:ext>
              </c:extLst>
              <c:f>'Handling + Stock'!$B$67:$AG$67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  <c:pt idx="32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Stock'!$B$69:$S$69</c15:sqref>
                  </c15:fullRef>
                </c:ext>
              </c:extLst>
              <c:f>'Handling + Stock'!$B$69:$S$69</c:f>
              <c:numCache>
                <c:formatCode>_-* #,##0_-;\-* #,##0_-;_-* "-"??_-;_-@_-</c:formatCode>
                <c:ptCount val="18"/>
                <c:pt idx="0">
                  <c:v>193785.35</c:v>
                </c:pt>
                <c:pt idx="1">
                  <c:v>193785.35</c:v>
                </c:pt>
                <c:pt idx="2">
                  <c:v>193785.35</c:v>
                </c:pt>
                <c:pt idx="3">
                  <c:v>193785.35</c:v>
                </c:pt>
                <c:pt idx="4">
                  <c:v>193785.35</c:v>
                </c:pt>
                <c:pt idx="5">
                  <c:v>193785.35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968-4B82-B500-CF50539D1458}"/>
            </c:ext>
          </c:extLst>
        </c:ser>
        <c:ser>
          <c:idx val="2"/>
          <c:order val="2"/>
          <c:tx>
            <c:strRef>
              <c:f>'Handling + Stock'!$A$71</c:f>
              <c:strCache>
                <c:ptCount val="1"/>
                <c:pt idx="0">
                  <c:v> Stock in DC + Ext. Storage Forecast 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968-4B82-B500-CF50539D145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968-4B82-B500-CF50539D14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4968-4B82-B500-CF50539D14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4968-4B82-B500-CF50539D145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4968-4B82-B500-CF50539D145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4968-4B82-B500-CF50539D1458}"/>
                </c:ext>
              </c:extLst>
            </c:dLbl>
            <c:dLbl>
              <c:idx val="6"/>
              <c:layout>
                <c:manualLayout>
                  <c:x val="-6.6896087968639313E-3"/>
                  <c:y val="0.11398500765617621"/>
                </c:manualLayout>
              </c:layout>
              <c:tx>
                <c:rich>
                  <a:bodyPr/>
                  <a:lstStyle/>
                  <a:p>
                    <a:fld id="{A666B54D-0D42-42F8-8AF5-EB4581F3ED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4968-4B82-B500-CF50539D1458}"/>
                </c:ext>
              </c:extLst>
            </c:dLbl>
            <c:dLbl>
              <c:idx val="7"/>
              <c:layout>
                <c:manualLayout>
                  <c:x val="-8.8888734018074834E-3"/>
                  <c:y val="0.12156875397747494"/>
                </c:manualLayout>
              </c:layout>
              <c:tx>
                <c:rich>
                  <a:bodyPr/>
                  <a:lstStyle/>
                  <a:p>
                    <a:fld id="{01C5840B-5D15-4D7C-9042-312A84C1F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4968-4B82-B500-CF50539D1458}"/>
                </c:ext>
              </c:extLst>
            </c:dLbl>
            <c:dLbl>
              <c:idx val="8"/>
              <c:layout>
                <c:manualLayout>
                  <c:x val="-8.2333646730632995E-3"/>
                  <c:y val="0.12156875397747494"/>
                </c:manualLayout>
              </c:layout>
              <c:tx>
                <c:rich>
                  <a:bodyPr/>
                  <a:lstStyle/>
                  <a:p>
                    <a:fld id="{3E79A15D-FDAB-4CAC-BDB6-3BEA24FC08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4968-4B82-B500-CF50539D1458}"/>
                </c:ext>
              </c:extLst>
            </c:dLbl>
            <c:dLbl>
              <c:idx val="9"/>
              <c:layout>
                <c:manualLayout>
                  <c:x val="-6.8764397245582951E-3"/>
                  <c:y val="0.14065734141871195"/>
                </c:manualLayout>
              </c:layout>
              <c:tx>
                <c:rich>
                  <a:bodyPr/>
                  <a:lstStyle/>
                  <a:p>
                    <a:fld id="{96D587D6-D9D3-4915-AC84-55B003A207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4968-4B82-B500-CF50539D1458}"/>
                </c:ext>
              </c:extLst>
            </c:dLbl>
            <c:dLbl>
              <c:idx val="10"/>
              <c:layout>
                <c:manualLayout>
                  <c:x val="-1.0058967422618123E-2"/>
                  <c:y val="0.13333335528180679"/>
                </c:manualLayout>
              </c:layout>
              <c:tx>
                <c:rich>
                  <a:bodyPr/>
                  <a:lstStyle/>
                  <a:p>
                    <a:fld id="{E4634948-B6D3-47C2-B599-109D4B76B7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4968-4B82-B500-CF50539D1458}"/>
                </c:ext>
              </c:extLst>
            </c:dLbl>
            <c:dLbl>
              <c:idx val="11"/>
              <c:layout>
                <c:manualLayout>
                  <c:x val="-7.3451175256081897E-3"/>
                  <c:y val="0.13725477930754981"/>
                </c:manualLayout>
              </c:layout>
              <c:tx>
                <c:rich>
                  <a:bodyPr/>
                  <a:lstStyle/>
                  <a:p>
                    <a:fld id="{A2AF3F88-B6CF-4B13-A213-BBA01C849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4968-4B82-B500-CF50539D1458}"/>
                </c:ext>
              </c:extLst>
            </c:dLbl>
            <c:dLbl>
              <c:idx val="12"/>
              <c:layout>
                <c:manualLayout>
                  <c:x val="-6.6896087968639313E-3"/>
                  <c:y val="0.12549017800321779"/>
                </c:manualLayout>
              </c:layout>
              <c:tx>
                <c:rich>
                  <a:bodyPr/>
                  <a:lstStyle/>
                  <a:p>
                    <a:fld id="{F927FD6E-D1A3-4DA5-AFFF-82797E72E3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4968-4B82-B500-CF50539D1458}"/>
                </c:ext>
              </c:extLst>
            </c:dLbl>
            <c:dLbl>
              <c:idx val="13"/>
              <c:layout>
                <c:manualLayout>
                  <c:x val="-9.1216118205184847E-3"/>
                  <c:y val="0.11764700072462878"/>
                </c:manualLayout>
              </c:layout>
              <c:tx>
                <c:rich>
                  <a:bodyPr/>
                  <a:lstStyle/>
                  <a:p>
                    <a:fld id="{22CB40C3-1A70-4BCE-8448-BD93029DF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968-4B82-B500-CF50539D1458}"/>
                </c:ext>
              </c:extLst>
            </c:dLbl>
            <c:dLbl>
              <c:idx val="14"/>
              <c:layout>
                <c:manualLayout>
                  <c:x val="-6.3159469414752019E-3"/>
                  <c:y val="9.8039222141707835E-2"/>
                </c:manualLayout>
              </c:layout>
              <c:tx>
                <c:rich>
                  <a:bodyPr/>
                  <a:lstStyle/>
                  <a:p>
                    <a:fld id="{7D4D3BD2-A7EE-45DE-B764-DEB8CEB82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4968-4B82-B500-CF50539D1458}"/>
                </c:ext>
              </c:extLst>
            </c:dLbl>
            <c:dLbl>
              <c:idx val="15"/>
              <c:layout>
                <c:manualLayout>
                  <c:x val="-7.8597028176746464E-3"/>
                  <c:y val="0.10196064616745083"/>
                </c:manualLayout>
              </c:layout>
              <c:tx>
                <c:rich>
                  <a:bodyPr/>
                  <a:lstStyle/>
                  <a:p>
                    <a:fld id="{89F8D384-1B2A-4CD9-8ABE-C4CE170107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4968-4B82-B500-CF50539D1458}"/>
                </c:ext>
              </c:extLst>
            </c:dLbl>
            <c:dLbl>
              <c:idx val="16"/>
              <c:layout>
                <c:manualLayout>
                  <c:x val="-9.4034586938740138E-3"/>
                  <c:y val="9.5675371541016518E-2"/>
                </c:manualLayout>
              </c:layout>
              <c:tx>
                <c:rich>
                  <a:bodyPr/>
                  <a:lstStyle/>
                  <a:p>
                    <a:fld id="{FF827912-DC58-4593-A6E4-76760AB28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4968-4B82-B500-CF50539D1458}"/>
                </c:ext>
              </c:extLst>
            </c:dLbl>
            <c:dLbl>
              <c:idx val="17"/>
              <c:layout>
                <c:manualLayout>
                  <c:x val="-1.0386721786990214E-2"/>
                  <c:y val="7.9729586026548144E-2"/>
                </c:manualLayout>
              </c:layout>
              <c:tx>
                <c:rich>
                  <a:bodyPr/>
                  <a:lstStyle/>
                  <a:p>
                    <a:fld id="{B6A49F09-8095-43DC-A694-94F1988DE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4968-4B82-B500-CF50539D1458}"/>
                </c:ext>
              </c:extLst>
            </c:dLbl>
            <c:dLbl>
              <c:idx val="18"/>
              <c:layout>
                <c:manualLayout>
                  <c:x val="-7.2041940889304625E-3"/>
                  <c:y val="8.7804868412865278E-2"/>
                </c:manualLayout>
              </c:layout>
              <c:tx>
                <c:rich>
                  <a:bodyPr/>
                  <a:lstStyle/>
                  <a:p>
                    <a:fld id="{6FA51358-B0C4-43A5-A883-BDFB0165E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4968-4B82-B500-CF50539D1458}"/>
                </c:ext>
              </c:extLst>
            </c:dLbl>
            <c:dLbl>
              <c:idx val="19"/>
              <c:layout>
                <c:manualLayout>
                  <c:x val="-8.7479499651298316E-3"/>
                  <c:y val="8.3623684202728754E-2"/>
                </c:manualLayout>
              </c:layout>
              <c:tx>
                <c:rich>
                  <a:bodyPr/>
                  <a:lstStyle/>
                  <a:p>
                    <a:fld id="{31082652-BBD0-473F-BCE8-4816D0419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4968-4B82-B500-CF50539D1458}"/>
                </c:ext>
              </c:extLst>
            </c:dLbl>
            <c:dLbl>
              <c:idx val="20"/>
              <c:layout>
                <c:manualLayout>
                  <c:x val="-9.7771205492626686E-3"/>
                  <c:y val="7.9442499992592397E-2"/>
                </c:manualLayout>
              </c:layout>
              <c:tx>
                <c:rich>
                  <a:bodyPr/>
                  <a:lstStyle/>
                  <a:p>
                    <a:fld id="{7731577D-A282-48DA-A2E0-296EE4E5F4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E72-4941-A1D5-70F68FB06795}"/>
                </c:ext>
              </c:extLst>
            </c:dLbl>
            <c:dLbl>
              <c:idx val="21"/>
              <c:layout>
                <c:manualLayout>
                  <c:x val="-9.2625352571963637E-3"/>
                  <c:y val="5.4355394731773664E-2"/>
                </c:manualLayout>
              </c:layout>
              <c:tx>
                <c:rich>
                  <a:bodyPr/>
                  <a:lstStyle/>
                  <a:p>
                    <a:fld id="{3CB2E0AB-A354-42D2-8BE8-4D3AB831F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E72-4941-A1D5-70F68FB06795}"/>
                </c:ext>
              </c:extLst>
            </c:dLbl>
            <c:dLbl>
              <c:idx val="22"/>
              <c:layout>
                <c:manualLayout>
                  <c:x val="-7.7187793809968437E-3"/>
                  <c:y val="6.2717763152046704E-2"/>
                </c:manualLayout>
              </c:layout>
              <c:tx>
                <c:rich>
                  <a:bodyPr/>
                  <a:lstStyle/>
                  <a:p>
                    <a:fld id="{58D39C88-F774-42C3-BA2B-46E110512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E72-4941-A1D5-70F68FB06795}"/>
                </c:ext>
              </c:extLst>
            </c:dLbl>
            <c:dLbl>
              <c:idx val="23"/>
              <c:layout>
                <c:manualLayout>
                  <c:x val="-1.0291705841329124E-2"/>
                  <c:y val="5.4355394731773664E-2"/>
                </c:manualLayout>
              </c:layout>
              <c:tx>
                <c:rich>
                  <a:bodyPr/>
                  <a:lstStyle/>
                  <a:p>
                    <a:fld id="{A398A626-18CE-4FAE-88D4-C468136346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E72-4941-A1D5-70F68FB06795}"/>
                </c:ext>
              </c:extLst>
            </c:dLbl>
            <c:dLbl>
              <c:idx val="24"/>
              <c:layout>
                <c:manualLayout>
                  <c:x val="-9.7771205492626686E-3"/>
                  <c:y val="8.3623684202728837E-2"/>
                </c:manualLayout>
              </c:layout>
              <c:tx>
                <c:rich>
                  <a:bodyPr/>
                  <a:lstStyle/>
                  <a:p>
                    <a:fld id="{E1E6E062-C36B-455C-ABAE-4F3618543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E72-4941-A1D5-70F68FB06795}"/>
                </c:ext>
              </c:extLst>
            </c:dLbl>
            <c:dLbl>
              <c:idx val="25"/>
              <c:layout>
                <c:manualLayout>
                  <c:x val="-8.2333646730632995E-3"/>
                  <c:y val="6.2717763152046552E-2"/>
                </c:manualLayout>
              </c:layout>
              <c:tx>
                <c:rich>
                  <a:bodyPr/>
                  <a:lstStyle/>
                  <a:p>
                    <a:fld id="{00B0DF51-ABB7-4DBE-8729-A18AD47EA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E72-4941-A1D5-70F68FB06795}"/>
                </c:ext>
              </c:extLst>
            </c:dLbl>
            <c:dLbl>
              <c:idx val="26"/>
              <c:layout>
                <c:manualLayout>
                  <c:x val="-1.0291705841329124E-2"/>
                  <c:y val="7.5261315782456026E-2"/>
                </c:manualLayout>
              </c:layout>
              <c:tx>
                <c:rich>
                  <a:bodyPr/>
                  <a:lstStyle/>
                  <a:p>
                    <a:fld id="{47CECB50-D6E1-48B1-B055-C5A48ECC6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72-4941-A1D5-70F68FB06795}"/>
                </c:ext>
              </c:extLst>
            </c:dLbl>
            <c:dLbl>
              <c:idx val="27"/>
              <c:layout>
                <c:manualLayout>
                  <c:x val="-8.2333646730632995E-3"/>
                  <c:y val="7.1080131572319433E-2"/>
                </c:manualLayout>
              </c:layout>
              <c:tx>
                <c:rich>
                  <a:bodyPr/>
                  <a:lstStyle/>
                  <a:p>
                    <a:fld id="{3E0840BE-2143-4987-9756-0FDA082BE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E72-4941-A1D5-70F68FB06795}"/>
                </c:ext>
              </c:extLst>
            </c:dLbl>
            <c:dLbl>
              <c:idx val="28"/>
              <c:layout>
                <c:manualLayout>
                  <c:x val="-9.2625352571963637E-3"/>
                  <c:y val="9.1986052623001718E-2"/>
                </c:manualLayout>
              </c:layout>
              <c:tx>
                <c:rich>
                  <a:bodyPr/>
                  <a:lstStyle/>
                  <a:p>
                    <a:fld id="{912E3570-64CD-4028-A4F9-0DCE722D0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E72-4941-A1D5-70F68FB06795}"/>
                </c:ext>
              </c:extLst>
            </c:dLbl>
            <c:dLbl>
              <c:idx val="29"/>
              <c:layout>
                <c:manualLayout>
                  <c:x val="-5.6604382127310188E-3"/>
                  <c:y val="6.2717763152046552E-2"/>
                </c:manualLayout>
              </c:layout>
              <c:tx>
                <c:rich>
                  <a:bodyPr/>
                  <a:lstStyle/>
                  <a:p>
                    <a:fld id="{71E5BB50-AE52-4D21-B454-F2BC8227C5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E72-4941-A1D5-70F68FB06795}"/>
                </c:ext>
              </c:extLst>
            </c:dLbl>
            <c:dLbl>
              <c:idx val="30"/>
              <c:layout>
                <c:manualLayout>
                  <c:x val="-7.7187793809968437E-3"/>
                  <c:y val="8.3623684202728837E-2"/>
                </c:manualLayout>
              </c:layout>
              <c:tx>
                <c:rich>
                  <a:bodyPr/>
                  <a:lstStyle/>
                  <a:p>
                    <a:fld id="{FBE74DE2-8278-4E28-AA1F-88F1CDB411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E72-4941-A1D5-70F68FB06795}"/>
                </c:ext>
              </c:extLst>
            </c:dLbl>
            <c:dLbl>
              <c:idx val="31"/>
              <c:layout>
                <c:manualLayout>
                  <c:x val="-5.6604382127310188E-3"/>
                  <c:y val="9.1986052623001718E-2"/>
                </c:manualLayout>
              </c:layout>
              <c:tx>
                <c:rich>
                  <a:bodyPr/>
                  <a:lstStyle/>
                  <a:p>
                    <a:fld id="{158EEEFA-6D67-41C5-ACEF-F67F414DC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E72-4941-A1D5-70F68FB067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Stock'!$B$67:$AH$67</c15:sqref>
                  </c15:fullRef>
                </c:ext>
              </c:extLst>
              <c:f>'Handling + Stock'!$B$67:$AG$67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Stock'!$B$71:$AH$71</c15:sqref>
                  </c15:fullRef>
                </c:ext>
              </c:extLst>
              <c:f>'Handling + Stock'!$B$71:$AG$71</c:f>
              <c:numCache>
                <c:formatCode>_-* #,##0_-;\-* #,##0_-;_-* "-"??_-;_-@_-</c:formatCode>
                <c:ptCount val="32"/>
                <c:pt idx="6">
                  <c:v>108095.05028344999</c:v>
                </c:pt>
                <c:pt idx="7">
                  <c:v>109356.94800768877</c:v>
                </c:pt>
                <c:pt idx="8">
                  <c:v>110508.2621230674</c:v>
                </c:pt>
                <c:pt idx="9">
                  <c:v>112193.83656268986</c:v>
                </c:pt>
                <c:pt idx="10">
                  <c:v>114433.71351674951</c:v>
                </c:pt>
                <c:pt idx="11">
                  <c:v>116653.05848261619</c:v>
                </c:pt>
                <c:pt idx="12">
                  <c:v>115634.66356429426</c:v>
                </c:pt>
                <c:pt idx="13">
                  <c:v>115046.23363905106</c:v>
                </c:pt>
                <c:pt idx="14">
                  <c:v>112703.99702327572</c:v>
                </c:pt>
                <c:pt idx="15">
                  <c:v>112715.87962493801</c:v>
                </c:pt>
                <c:pt idx="16">
                  <c:v>108874.13678220857</c:v>
                </c:pt>
                <c:pt idx="17">
                  <c:v>102366.14525457981</c:v>
                </c:pt>
                <c:pt idx="18">
                  <c:v>99431.555677972501</c:v>
                </c:pt>
                <c:pt idx="19">
                  <c:v>100884.57208328503</c:v>
                </c:pt>
                <c:pt idx="20">
                  <c:v>102768.29323243051</c:v>
                </c:pt>
                <c:pt idx="21">
                  <c:v>103409.10631018277</c:v>
                </c:pt>
                <c:pt idx="22">
                  <c:v>101915.2726102689</c:v>
                </c:pt>
                <c:pt idx="23">
                  <c:v>100474.77031513726</c:v>
                </c:pt>
                <c:pt idx="24">
                  <c:v>97673.704749885277</c:v>
                </c:pt>
                <c:pt idx="25">
                  <c:v>95771.481789090089</c:v>
                </c:pt>
                <c:pt idx="26">
                  <c:v>94863.599044557312</c:v>
                </c:pt>
                <c:pt idx="27">
                  <c:v>96406.90916599601</c:v>
                </c:pt>
                <c:pt idx="28">
                  <c:v>97301.675671768287</c:v>
                </c:pt>
                <c:pt idx="29">
                  <c:v>97004.828763307305</c:v>
                </c:pt>
                <c:pt idx="30">
                  <c:v>94774.152275880697</c:v>
                </c:pt>
                <c:pt idx="31">
                  <c:v>94748.749331494168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'Handling + Stock'!$B$73:$AG$73</c15:f>
                <c15:dlblRangeCache>
                  <c:ptCount val="32"/>
                  <c:pt idx="6">
                    <c:v>56%</c:v>
                  </c:pt>
                  <c:pt idx="7">
                    <c:v>56%</c:v>
                  </c:pt>
                  <c:pt idx="8">
                    <c:v>57%</c:v>
                  </c:pt>
                  <c:pt idx="9">
                    <c:v>58%</c:v>
                  </c:pt>
                  <c:pt idx="10">
                    <c:v>59%</c:v>
                  </c:pt>
                  <c:pt idx="11">
                    <c:v>60%</c:v>
                  </c:pt>
                  <c:pt idx="12">
                    <c:v>60%</c:v>
                  </c:pt>
                  <c:pt idx="13">
                    <c:v>59%</c:v>
                  </c:pt>
                  <c:pt idx="14">
                    <c:v>58%</c:v>
                  </c:pt>
                  <c:pt idx="15">
                    <c:v>58%</c:v>
                  </c:pt>
                  <c:pt idx="16">
                    <c:v>56%</c:v>
                  </c:pt>
                  <c:pt idx="17">
                    <c:v>53%</c:v>
                  </c:pt>
                  <c:pt idx="18">
                    <c:v>51%</c:v>
                  </c:pt>
                  <c:pt idx="19">
                    <c:v>52%</c:v>
                  </c:pt>
                  <c:pt idx="20">
                    <c:v>53%</c:v>
                  </c:pt>
                  <c:pt idx="21">
                    <c:v>53%</c:v>
                  </c:pt>
                  <c:pt idx="22">
                    <c:v>53%</c:v>
                  </c:pt>
                  <c:pt idx="23">
                    <c:v>52%</c:v>
                  </c:pt>
                  <c:pt idx="24">
                    <c:v>50%</c:v>
                  </c:pt>
                  <c:pt idx="25">
                    <c:v>49%</c:v>
                  </c:pt>
                  <c:pt idx="26">
                    <c:v>49%</c:v>
                  </c:pt>
                  <c:pt idx="27">
                    <c:v>50%</c:v>
                  </c:pt>
                  <c:pt idx="28">
                    <c:v>50%</c:v>
                  </c:pt>
                  <c:pt idx="29">
                    <c:v>50%</c:v>
                  </c:pt>
                  <c:pt idx="30">
                    <c:v>49%</c:v>
                  </c:pt>
                  <c:pt idx="31">
                    <c:v>49%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4968-4B82-B500-CF50539D1458}"/>
            </c:ext>
          </c:extLst>
        </c:ser>
        <c:ser>
          <c:idx val="3"/>
          <c:order val="3"/>
          <c:tx>
            <c:strRef>
              <c:f>'Handling + Stock'!$A$72</c:f>
              <c:strCache>
                <c:ptCount val="1"/>
                <c:pt idx="0">
                  <c:v> Total DC Storage Capacity (incl. external) Forecast 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'Handling + Stock'!$B$67:$AH$67</c15:sqref>
                  </c15:fullRef>
                </c:ext>
              </c:extLst>
              <c:f>'Handling + Stock'!$B$67:$AG$67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'Handling + Stock'!$B$72:$AH$72</c15:sqref>
                  </c15:fullRef>
                </c:ext>
              </c:extLst>
              <c:f>'Handling + Stock'!$B$72:$AG$72</c:f>
              <c:numCache>
                <c:formatCode>_-* #,##0_-;\-* #,##0_-;_-* "-"??_-;_-@_-</c:formatCode>
                <c:ptCount val="32"/>
                <c:pt idx="6">
                  <c:v>193785.35</c:v>
                </c:pt>
                <c:pt idx="7">
                  <c:v>193785.35</c:v>
                </c:pt>
                <c:pt idx="8">
                  <c:v>193785.35</c:v>
                </c:pt>
                <c:pt idx="9">
                  <c:v>193785.35</c:v>
                </c:pt>
                <c:pt idx="10">
                  <c:v>193785.35</c:v>
                </c:pt>
                <c:pt idx="11">
                  <c:v>193785.35</c:v>
                </c:pt>
                <c:pt idx="12">
                  <c:v>193785.35</c:v>
                </c:pt>
                <c:pt idx="13">
                  <c:v>193785.35</c:v>
                </c:pt>
                <c:pt idx="14">
                  <c:v>193785.35</c:v>
                </c:pt>
                <c:pt idx="15">
                  <c:v>193785.35</c:v>
                </c:pt>
                <c:pt idx="16">
                  <c:v>193785.35</c:v>
                </c:pt>
                <c:pt idx="17">
                  <c:v>193785.35</c:v>
                </c:pt>
                <c:pt idx="18">
                  <c:v>193785.35</c:v>
                </c:pt>
                <c:pt idx="19">
                  <c:v>193785.35</c:v>
                </c:pt>
                <c:pt idx="20">
                  <c:v>193785.35</c:v>
                </c:pt>
                <c:pt idx="21">
                  <c:v>193785.35</c:v>
                </c:pt>
                <c:pt idx="22">
                  <c:v>193785.35</c:v>
                </c:pt>
                <c:pt idx="23">
                  <c:v>193785.35</c:v>
                </c:pt>
                <c:pt idx="24">
                  <c:v>193785.35</c:v>
                </c:pt>
                <c:pt idx="25">
                  <c:v>193785.35</c:v>
                </c:pt>
                <c:pt idx="26">
                  <c:v>193785.35</c:v>
                </c:pt>
                <c:pt idx="27">
                  <c:v>193785.35</c:v>
                </c:pt>
                <c:pt idx="28">
                  <c:v>193785.35</c:v>
                </c:pt>
                <c:pt idx="29">
                  <c:v>193785.35</c:v>
                </c:pt>
                <c:pt idx="30">
                  <c:v>193785.35</c:v>
                </c:pt>
                <c:pt idx="31">
                  <c:v>193785.35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968-4B82-B500-CF50539D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328720"/>
        <c:axId val="878327936"/>
      </c:lineChart>
      <c:catAx>
        <c:axId val="87832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layout>
            <c:manualLayout>
              <c:xMode val="edge"/>
              <c:yMode val="edge"/>
              <c:x val="0.55081902529604054"/>
              <c:y val="0.93642492947132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27936"/>
        <c:crosses val="autoZero"/>
        <c:auto val="1"/>
        <c:lblAlgn val="ctr"/>
        <c:lblOffset val="100"/>
        <c:noMultiLvlLbl val="0"/>
      </c:catAx>
      <c:valAx>
        <c:axId val="8783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m3  (stock)</a:t>
                </a:r>
              </a:p>
            </c:rich>
          </c:tx>
          <c:layout>
            <c:manualLayout>
              <c:xMode val="edge"/>
              <c:yMode val="edge"/>
              <c:x val="0.1143483073061225"/>
              <c:y val="0.34990421137433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9423396945309766E-3"/>
          <c:y val="0.26177364325631952"/>
          <c:w val="0.1112978700058687"/>
          <c:h val="0.43834832258247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ysClr val="windowText" lastClr="000000"/>
                </a:solidFill>
                <a:effectLst/>
              </a:rPr>
              <a:t>Stock in DC + Ext w/ Storage Capacity</a:t>
            </a:r>
            <a:endParaRPr lang="en-GB" sz="1400" b="1" baseline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0572929019906856"/>
          <c:y val="4.5977011494252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419309703684771"/>
          <c:y val="0.14559245569508564"/>
          <c:w val="0.83221294203889551"/>
          <c:h val="0.75858865055661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'Handling + Stock'!$A$87</c:f>
              <c:strCache>
                <c:ptCount val="1"/>
                <c:pt idx="0">
                  <c:v>Total 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'Handling + Stock'!$B$92:$AG$92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'Handling + Stock'!$B$87:$AG$87</c:f>
              <c:numCache>
                <c:formatCode>#,##0</c:formatCode>
                <c:ptCount val="32"/>
                <c:pt idx="0">
                  <c:v>204615.35</c:v>
                </c:pt>
                <c:pt idx="1">
                  <c:v>204615.35</c:v>
                </c:pt>
                <c:pt idx="2">
                  <c:v>204615.35</c:v>
                </c:pt>
                <c:pt idx="3">
                  <c:v>204615.35</c:v>
                </c:pt>
                <c:pt idx="4">
                  <c:v>204615.35</c:v>
                </c:pt>
                <c:pt idx="5">
                  <c:v>204615.35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B2A-4679-B761-452542159D49}"/>
            </c:ext>
          </c:extLst>
        </c:ser>
        <c:ser>
          <c:idx val="1"/>
          <c:order val="1"/>
          <c:tx>
            <c:strRef>
              <c:f>'Handling + Stock'!$A$89</c:f>
              <c:strCache>
                <c:ptCount val="1"/>
                <c:pt idx="0">
                  <c:v>Total Capacity Forecast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'Handling + Stock'!$B$92:$AG$92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'Handling + Stock'!$B$89:$AG$89</c:f>
              <c:numCache>
                <c:formatCode>General</c:formatCode>
                <c:ptCount val="32"/>
                <c:pt idx="6" formatCode="#,##0">
                  <c:v>204615.35</c:v>
                </c:pt>
                <c:pt idx="7" formatCode="#,##0">
                  <c:v>204615.35</c:v>
                </c:pt>
                <c:pt idx="8" formatCode="#,##0">
                  <c:v>204615.35</c:v>
                </c:pt>
                <c:pt idx="9" formatCode="#,##0">
                  <c:v>204615.35</c:v>
                </c:pt>
                <c:pt idx="10" formatCode="#,##0">
                  <c:v>204615.35</c:v>
                </c:pt>
                <c:pt idx="11" formatCode="#,##0">
                  <c:v>204615.35</c:v>
                </c:pt>
                <c:pt idx="12" formatCode="#,##0">
                  <c:v>204615.35</c:v>
                </c:pt>
                <c:pt idx="13" formatCode="#,##0">
                  <c:v>204615.35</c:v>
                </c:pt>
                <c:pt idx="14" formatCode="#,##0">
                  <c:v>204615.35</c:v>
                </c:pt>
                <c:pt idx="15" formatCode="#,##0">
                  <c:v>204615.35</c:v>
                </c:pt>
                <c:pt idx="16" formatCode="#,##0">
                  <c:v>204615.35</c:v>
                </c:pt>
                <c:pt idx="17" formatCode="#,##0">
                  <c:v>204615.35</c:v>
                </c:pt>
                <c:pt idx="18" formatCode="#,##0">
                  <c:v>204615.35</c:v>
                </c:pt>
                <c:pt idx="19" formatCode="#,##0">
                  <c:v>204615.35</c:v>
                </c:pt>
                <c:pt idx="20" formatCode="#,##0">
                  <c:v>204615.35</c:v>
                </c:pt>
                <c:pt idx="21" formatCode="#,##0">
                  <c:v>204615.35</c:v>
                </c:pt>
                <c:pt idx="22" formatCode="#,##0">
                  <c:v>204615.35</c:v>
                </c:pt>
                <c:pt idx="23" formatCode="#,##0">
                  <c:v>204615.35</c:v>
                </c:pt>
                <c:pt idx="24" formatCode="#,##0">
                  <c:v>204615.35</c:v>
                </c:pt>
                <c:pt idx="25" formatCode="#,##0">
                  <c:v>204615.35</c:v>
                </c:pt>
                <c:pt idx="26" formatCode="#,##0">
                  <c:v>204615.35</c:v>
                </c:pt>
                <c:pt idx="27" formatCode="#,##0">
                  <c:v>204615.35</c:v>
                </c:pt>
                <c:pt idx="28" formatCode="#,##0">
                  <c:v>204615.35</c:v>
                </c:pt>
                <c:pt idx="29" formatCode="#,##0">
                  <c:v>204615.35</c:v>
                </c:pt>
                <c:pt idx="30" formatCode="#,##0">
                  <c:v>204615.35</c:v>
                </c:pt>
                <c:pt idx="31" formatCode="#,##0">
                  <c:v>204615.35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B2A-4679-B761-452542159D49}"/>
            </c:ext>
          </c:extLst>
        </c:ser>
        <c:ser>
          <c:idx val="2"/>
          <c:order val="2"/>
          <c:tx>
            <c:strRef>
              <c:f>'Handling + Stock'!$A$88</c:f>
              <c:strCache>
                <c:ptCount val="1"/>
                <c:pt idx="0">
                  <c:v>Stock incl. Queue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'Handling + Stock'!$B$92:$AG$92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'Handling + Stock'!$B$88:$O$88</c:f>
              <c:numCache>
                <c:formatCode>#,##0</c:formatCode>
                <c:ptCount val="14"/>
                <c:pt idx="0">
                  <c:v>148897</c:v>
                </c:pt>
                <c:pt idx="1">
                  <c:v>143924</c:v>
                </c:pt>
                <c:pt idx="2">
                  <c:v>142737</c:v>
                </c:pt>
                <c:pt idx="3">
                  <c:v>147818</c:v>
                </c:pt>
                <c:pt idx="4">
                  <c:v>145588</c:v>
                </c:pt>
                <c:pt idx="5">
                  <c:v>143845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B2A-4679-B761-452542159D49}"/>
            </c:ext>
          </c:extLst>
        </c:ser>
        <c:ser>
          <c:idx val="3"/>
          <c:order val="3"/>
          <c:tx>
            <c:strRef>
              <c:f>'Handling + Stock'!$A$90</c:f>
              <c:strCache>
                <c:ptCount val="1"/>
                <c:pt idx="0">
                  <c:v>Stock incl. Queue Forecast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'Handling + Stock'!$B$92:$AG$92</c:f>
              <c:strCache>
                <c:ptCount val="32"/>
                <c:pt idx="0">
                  <c:v>202631</c:v>
                </c:pt>
                <c:pt idx="1">
                  <c:v>202632</c:v>
                </c:pt>
                <c:pt idx="2">
                  <c:v>202633</c:v>
                </c:pt>
                <c:pt idx="3">
                  <c:v>202634</c:v>
                </c:pt>
                <c:pt idx="4">
                  <c:v>202635</c:v>
                </c:pt>
                <c:pt idx="5">
                  <c:v>202636</c:v>
                </c:pt>
                <c:pt idx="6">
                  <c:v>202637</c:v>
                </c:pt>
                <c:pt idx="7">
                  <c:v>202638</c:v>
                </c:pt>
                <c:pt idx="8">
                  <c:v>202639</c:v>
                </c:pt>
                <c:pt idx="9">
                  <c:v>202640</c:v>
                </c:pt>
                <c:pt idx="10">
                  <c:v>202641</c:v>
                </c:pt>
                <c:pt idx="11">
                  <c:v>202642</c:v>
                </c:pt>
                <c:pt idx="12">
                  <c:v>202643</c:v>
                </c:pt>
                <c:pt idx="13">
                  <c:v>202644</c:v>
                </c:pt>
                <c:pt idx="14">
                  <c:v>202645</c:v>
                </c:pt>
                <c:pt idx="15">
                  <c:v>202646</c:v>
                </c:pt>
                <c:pt idx="16">
                  <c:v>202647</c:v>
                </c:pt>
                <c:pt idx="17">
                  <c:v>202648</c:v>
                </c:pt>
                <c:pt idx="18">
                  <c:v>202649</c:v>
                </c:pt>
                <c:pt idx="19">
                  <c:v>202650</c:v>
                </c:pt>
                <c:pt idx="20">
                  <c:v>202651</c:v>
                </c:pt>
                <c:pt idx="21">
                  <c:v>202652</c:v>
                </c:pt>
                <c:pt idx="22">
                  <c:v>202653</c:v>
                </c:pt>
                <c:pt idx="23">
                  <c:v>202701</c:v>
                </c:pt>
                <c:pt idx="24">
                  <c:v>202702</c:v>
                </c:pt>
                <c:pt idx="25">
                  <c:v>202703</c:v>
                </c:pt>
                <c:pt idx="26">
                  <c:v>202704</c:v>
                </c:pt>
                <c:pt idx="27">
                  <c:v>202705</c:v>
                </c:pt>
                <c:pt idx="28">
                  <c:v>202706</c:v>
                </c:pt>
                <c:pt idx="29">
                  <c:v>202707</c:v>
                </c:pt>
                <c:pt idx="30">
                  <c:v>202708</c:v>
                </c:pt>
                <c:pt idx="31">
                  <c:v>202709</c:v>
                </c:pt>
              </c:strCache>
            </c:strRef>
          </c:cat>
          <c:val>
            <c:numRef>
              <c:f>'Handling + Stock'!$B$90:$AG$90</c:f>
              <c:numCache>
                <c:formatCode>General</c:formatCode>
                <c:ptCount val="32"/>
                <c:pt idx="6" formatCode="#,##0">
                  <c:v>137630.01049999997</c:v>
                </c:pt>
                <c:pt idx="7" formatCode="#,##0">
                  <c:v>136134.26238141203</c:v>
                </c:pt>
                <c:pt idx="8" formatCode="#,##0">
                  <c:v>132748.88510467374</c:v>
                </c:pt>
                <c:pt idx="9" formatCode="#,##0">
                  <c:v>131014.82608718269</c:v>
                </c:pt>
                <c:pt idx="10" formatCode="#,##0">
                  <c:v>130580.83289147263</c:v>
                </c:pt>
                <c:pt idx="11" formatCode="#,##0">
                  <c:v>129953.2661036952</c:v>
                </c:pt>
                <c:pt idx="12" formatCode="#,##0">
                  <c:v>126464.66356429426</c:v>
                </c:pt>
                <c:pt idx="13" formatCode="#,##0">
                  <c:v>125876.23363905106</c:v>
                </c:pt>
                <c:pt idx="14" formatCode="#,##0">
                  <c:v>123533.99702327572</c:v>
                </c:pt>
                <c:pt idx="15" formatCode="#,##0">
                  <c:v>123545.87962493801</c:v>
                </c:pt>
                <c:pt idx="16" formatCode="#,##0">
                  <c:v>119704.13678220857</c:v>
                </c:pt>
                <c:pt idx="17" formatCode="#,##0">
                  <c:v>113196.14525457981</c:v>
                </c:pt>
                <c:pt idx="18" formatCode="#,##0">
                  <c:v>110261.5556779725</c:v>
                </c:pt>
                <c:pt idx="19" formatCode="#,##0">
                  <c:v>111714.57208328503</c:v>
                </c:pt>
                <c:pt idx="20" formatCode="#,##0">
                  <c:v>113598.29323243051</c:v>
                </c:pt>
                <c:pt idx="21" formatCode="#,##0">
                  <c:v>114239.10631018277</c:v>
                </c:pt>
                <c:pt idx="22" formatCode="#,##0">
                  <c:v>112745.2726102689</c:v>
                </c:pt>
                <c:pt idx="23" formatCode="#,##0">
                  <c:v>111304.77031513726</c:v>
                </c:pt>
                <c:pt idx="24" formatCode="#,##0">
                  <c:v>108503.70474988528</c:v>
                </c:pt>
                <c:pt idx="25" formatCode="#,##0">
                  <c:v>106601.48178909009</c:v>
                </c:pt>
                <c:pt idx="26" formatCode="#,##0">
                  <c:v>105693.59904455731</c:v>
                </c:pt>
                <c:pt idx="27" formatCode="#,##0">
                  <c:v>107236.90916599601</c:v>
                </c:pt>
                <c:pt idx="28" formatCode="#,##0">
                  <c:v>108131.67567176829</c:v>
                </c:pt>
                <c:pt idx="29" formatCode="#,##0">
                  <c:v>107834.82876330731</c:v>
                </c:pt>
                <c:pt idx="30" formatCode="#,##0">
                  <c:v>105604.1522758807</c:v>
                </c:pt>
                <c:pt idx="31" formatCode="#,##0">
                  <c:v>105578.74933149417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B2A-4679-B761-45254215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40"/>
        <c:axId val="878328720"/>
        <c:axId val="878327936"/>
      </c:barChart>
      <c:lineChart>
        <c:grouping val="standard"/>
        <c:varyColors val="0"/>
        <c:ser>
          <c:idx val="4"/>
          <c:order val="4"/>
          <c:tx>
            <c:strRef>
              <c:f>'Handling + Stock'!$A$97</c:f>
              <c:strCache>
                <c:ptCount val="1"/>
                <c:pt idx="0">
                  <c:v>Utilization (DC Stock+Queue)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'Handling + Stock'!$B$97:$G$97</c:f>
              <c:numCache>
                <c:formatCode>0%</c:formatCode>
                <c:ptCount val="6"/>
                <c:pt idx="0">
                  <c:v>0.72769222836898595</c:v>
                </c:pt>
                <c:pt idx="1">
                  <c:v>0.70338808891903759</c:v>
                </c:pt>
                <c:pt idx="2">
                  <c:v>0.69758696011809473</c:v>
                </c:pt>
                <c:pt idx="3">
                  <c:v>0.72241891920620815</c:v>
                </c:pt>
                <c:pt idx="4">
                  <c:v>0.71152042112187575</c:v>
                </c:pt>
                <c:pt idx="5">
                  <c:v>0.7030019986281576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B2A-4679-B761-452542159D49}"/>
            </c:ext>
          </c:extLst>
        </c:ser>
        <c:ser>
          <c:idx val="5"/>
          <c:order val="5"/>
          <c:tx>
            <c:strRef>
              <c:f>'Handling + Stock'!$A$102</c:f>
              <c:strCache>
                <c:ptCount val="1"/>
                <c:pt idx="0">
                  <c:v>Utilization (DC Stock+Queue) Forecast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'Handling + Stock'!$B$102:$AG$102</c:f>
              <c:numCache>
                <c:formatCode>General</c:formatCode>
                <c:ptCount val="32"/>
                <c:pt idx="6" formatCode="0%">
                  <c:v>0.67262798465511009</c:v>
                </c:pt>
                <c:pt idx="7" formatCode="0%">
                  <c:v>0.66531793622234126</c:v>
                </c:pt>
                <c:pt idx="8" formatCode="0%">
                  <c:v>0.64877285650697147</c:v>
                </c:pt>
                <c:pt idx="9" formatCode="0%">
                  <c:v>0.64029813055170437</c:v>
                </c:pt>
                <c:pt idx="10" formatCode="0%">
                  <c:v>0.63817711081535489</c:v>
                </c:pt>
                <c:pt idx="11" formatCode="0%">
                  <c:v>0.63511005456675274</c:v>
                </c:pt>
                <c:pt idx="12" formatCode="0%">
                  <c:v>0.61806049039964139</c:v>
                </c:pt>
                <c:pt idx="13" formatCode="0%">
                  <c:v>0.61518470456420327</c:v>
                </c:pt>
                <c:pt idx="14" formatCode="0%">
                  <c:v>0.60373768157313568</c:v>
                </c:pt>
                <c:pt idx="15" formatCode="0%">
                  <c:v>0.60379575444822686</c:v>
                </c:pt>
                <c:pt idx="16" formatCode="0%">
                  <c:v>0.58502031632626084</c:v>
                </c:pt>
                <c:pt idx="17" formatCode="0%">
                  <c:v>0.55321433731428171</c:v>
                </c:pt>
                <c:pt idx="18" formatCode="0%">
                  <c:v>0.53887235575421144</c:v>
                </c:pt>
                <c:pt idx="19" formatCode="0%">
                  <c:v>0.54597356495143223</c:v>
                </c:pt>
                <c:pt idx="20" formatCode="0%">
                  <c:v>0.55517972250092928</c:v>
                </c:pt>
                <c:pt idx="21" formatCode="0%">
                  <c:v>0.55831151626787912</c:v>
                </c:pt>
                <c:pt idx="22" formatCode="0%">
                  <c:v>0.55101082401818291</c:v>
                </c:pt>
                <c:pt idx="23" formatCode="0%">
                  <c:v>0.54397077401640326</c:v>
                </c:pt>
                <c:pt idx="24" formatCode="0%">
                  <c:v>0.53028135352448036</c:v>
                </c:pt>
                <c:pt idx="25" formatCode="0%">
                  <c:v>0.52098477357192452</c:v>
                </c:pt>
                <c:pt idx="26" formatCode="0%">
                  <c:v>0.51654775188937341</c:v>
                </c:pt>
                <c:pt idx="27" formatCode="0%">
                  <c:v>0.52409024624005973</c:v>
                </c:pt>
                <c:pt idx="28" formatCode="0%">
                  <c:v>0.52846316599301213</c:v>
                </c:pt>
                <c:pt idx="29" formatCode="0%">
                  <c:v>0.52701241017991707</c:v>
                </c:pt>
                <c:pt idx="30" formatCode="0%">
                  <c:v>0.51611060595346681</c:v>
                </c:pt>
                <c:pt idx="31" formatCode="0%">
                  <c:v>0.5159864562042592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6B2A-4679-B761-45254215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894991"/>
        <c:axId val="1124900751"/>
      </c:lineChart>
      <c:catAx>
        <c:axId val="87832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</a:t>
                </a:r>
              </a:p>
            </c:rich>
          </c:tx>
          <c:layout>
            <c:manualLayout>
              <c:xMode val="edge"/>
              <c:yMode val="edge"/>
              <c:x val="0.55081902529604054"/>
              <c:y val="0.93642492947132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27936"/>
        <c:crosses val="autoZero"/>
        <c:auto val="1"/>
        <c:lblAlgn val="ctr"/>
        <c:lblOffset val="100"/>
        <c:noMultiLvlLbl val="0"/>
      </c:catAx>
      <c:valAx>
        <c:axId val="8783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m3  (stock)</a:t>
                </a:r>
              </a:p>
            </c:rich>
          </c:tx>
          <c:layout>
            <c:manualLayout>
              <c:xMode val="edge"/>
              <c:yMode val="edge"/>
              <c:x val="0.1143483073061225"/>
              <c:y val="0.34990421137433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28720"/>
        <c:crosses val="autoZero"/>
        <c:crossBetween val="between"/>
      </c:valAx>
      <c:valAx>
        <c:axId val="112490075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4894991"/>
        <c:crosses val="max"/>
        <c:crossBetween val="between"/>
      </c:valAx>
      <c:catAx>
        <c:axId val="1124894991"/>
        <c:scaling>
          <c:orientation val="minMax"/>
        </c:scaling>
        <c:delete val="1"/>
        <c:axPos val="b"/>
        <c:majorTickMark val="out"/>
        <c:minorTickMark val="none"/>
        <c:tickLblPos val="nextTo"/>
        <c:crossAx val="1124900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4.9423396945309766E-3"/>
          <c:y val="0.26177364325631952"/>
          <c:w val="8.7987973515298579E-2"/>
          <c:h val="0.423347864320243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34</xdr:col>
      <xdr:colOff>1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20</xdr:row>
      <xdr:rowOff>0</xdr:rowOff>
    </xdr:from>
    <xdr:to>
      <xdr:col>34</xdr:col>
      <xdr:colOff>1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40</xdr:row>
      <xdr:rowOff>0</xdr:rowOff>
    </xdr:from>
    <xdr:to>
      <xdr:col>34</xdr:col>
      <xdr:colOff>1</xdr:colOff>
      <xdr:row>55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34</xdr:col>
      <xdr:colOff>0</xdr:colOff>
      <xdr:row>77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34</xdr:col>
      <xdr:colOff>0</xdr:colOff>
      <xdr:row>99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575733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33</xdr:col>
      <xdr:colOff>613832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33</xdr:col>
      <xdr:colOff>613832</xdr:colOff>
      <xdr:row>59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33</xdr:col>
      <xdr:colOff>613832</xdr:colOff>
      <xdr:row>81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34</xdr:col>
      <xdr:colOff>1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4234</xdr:colOff>
      <xdr:row>24</xdr:row>
      <xdr:rowOff>0</xdr:rowOff>
    </xdr:from>
    <xdr:to>
      <xdr:col>34</xdr:col>
      <xdr:colOff>0</xdr:colOff>
      <xdr:row>40</xdr:row>
      <xdr:rowOff>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25401</xdr:colOff>
      <xdr:row>50</xdr:row>
      <xdr:rowOff>10583</xdr:rowOff>
    </xdr:from>
    <xdr:to>
      <xdr:col>34</xdr:col>
      <xdr:colOff>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75</xdr:row>
      <xdr:rowOff>0</xdr:rowOff>
    </xdr:from>
    <xdr:to>
      <xdr:col>33</xdr:col>
      <xdr:colOff>609599</xdr:colOff>
      <xdr:row>90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BA9F1-CCB9-40CA-BB58-21E1968D9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workbookViewId="0">
      <selection activeCell="B13" sqref="B13"/>
    </sheetView>
  </sheetViews>
  <sheetFormatPr defaultRowHeight="15" x14ac:dyDescent="0.25"/>
  <cols>
    <col min="1" max="1" width="44.7109375" customWidth="1"/>
    <col min="2" max="2" width="52.5703125" customWidth="1"/>
  </cols>
  <sheetData>
    <row r="1" spans="1:2" x14ac:dyDescent="0.25">
      <c r="A1" t="str">
        <f>Overview_Report!B6 &amp; Overview_Report!$C$2</f>
        <v>DC In to Stock -Actual</v>
      </c>
      <c r="B1" t="str">
        <f>Overview_Report!B6 &amp; " - wk"&amp;RIGHT(Overview_Report!$I$5,2)&amp;" FC"</f>
        <v>DC In to Stock - wk37 FC</v>
      </c>
    </row>
    <row r="2" spans="1:2" x14ac:dyDescent="0.25">
      <c r="A2" t="str">
        <f>Overview_Report!B7 &amp; Overview_Report!$C$2</f>
        <v>Total DC In to Stock (Queue Corrected) -Actual</v>
      </c>
      <c r="B2" t="str">
        <f>Overview_Report!B7 &amp; " - wk"&amp;RIGHT(Overview_Report!$I$5,2)&amp;" FC"</f>
        <v>Total DC In to Stock (Queue Corrected) - wk37 FC</v>
      </c>
    </row>
    <row r="3" spans="1:2" x14ac:dyDescent="0.25">
      <c r="A3" t="str">
        <f>Overview_Report!B8 &amp; Overview_Report!$C$2</f>
        <v>DC In to Stock from other BU -Actual</v>
      </c>
      <c r="B3" t="str">
        <f>Overview_Report!B8 &amp; " - wk"&amp;RIGHT(Overview_Report!$I$5,2)&amp;" FC"</f>
        <v>DC In to Stock from other BU - wk37 FC</v>
      </c>
    </row>
    <row r="4" spans="1:2" x14ac:dyDescent="0.25">
      <c r="A4" t="str">
        <f>Overview_Report!B9 &amp; Overview_Report!$C$2</f>
        <v>DC Replenishment and Other Inflow -Actual</v>
      </c>
      <c r="B4" t="str">
        <f>Overview_Report!B9 &amp; " - wk"&amp;RIGHT(Overview_Report!$I$5,2)&amp;" FC"</f>
        <v>DC Replenishment and Other Inflow - wk37 FC</v>
      </c>
    </row>
    <row r="5" spans="1:2" x14ac:dyDescent="0.25">
      <c r="A5" t="str">
        <f>Overview_Report!B10 &amp; Overview_Report!$C$2</f>
        <v>Total Transit IN -Actual</v>
      </c>
      <c r="B5" t="str">
        <f>Overview_Report!B10 &amp; " - wk"&amp;RIGHT(Overview_Report!$I$5,2)&amp;" FC"</f>
        <v>Total Transit IN - wk37 FC</v>
      </c>
    </row>
    <row r="6" spans="1:2" x14ac:dyDescent="0.25">
      <c r="A6" t="str">
        <f>Overview_Report!B11 &amp; Overview_Report!$C$2</f>
        <v>Total Inflow -Actual</v>
      </c>
      <c r="B6" t="str">
        <f>Overview_Report!B11 &amp; " - wk"&amp;RIGHT(Overview_Report!$I$5,2)&amp;" FC"</f>
        <v>Total Inflow - wk37 FC</v>
      </c>
    </row>
    <row r="7" spans="1:2" x14ac:dyDescent="0.25">
      <c r="A7" t="str">
        <f>Overview_Report!B12 &amp; Overview_Report!$C$2</f>
        <v>Total Inflow (Queue Corrected) -Actual</v>
      </c>
      <c r="B7" t="str">
        <f>Overview_Report!B12 &amp; " - wk"&amp;RIGHT(Overview_Report!$I$5,2)&amp;" FC"</f>
        <v>Total Inflow (Queue Corrected) - wk37 FC</v>
      </c>
    </row>
    <row r="8" spans="1:2" x14ac:dyDescent="0.25">
      <c r="A8" t="str">
        <f>Overview_Report!B13 &amp; Overview_Report!$C$2</f>
        <v>Land Volume (DC Stock) -Actual</v>
      </c>
      <c r="B8" t="str">
        <f>Overview_Report!B13 &amp; " - wk"&amp;RIGHT(Overview_Report!$I$5,2)&amp;" FC"</f>
        <v>Land Volume (DC Stock) - wk37 FC</v>
      </c>
    </row>
    <row r="9" spans="1:2" x14ac:dyDescent="0.25">
      <c r="A9" t="str">
        <f>Overview_Report!B14 &amp; Overview_Report!$C$2</f>
        <v>Land Volume (Transit) -Actual</v>
      </c>
      <c r="B9" t="str">
        <f>Overview_Report!B14 &amp; " - wk"&amp;RIGHT(Overview_Report!$I$5,2)&amp;" FC"</f>
        <v>Land Volume (Transit) - wk37 FC</v>
      </c>
    </row>
    <row r="10" spans="1:2" x14ac:dyDescent="0.25">
      <c r="A10" t="str">
        <f>Overview_Report!B15 &amp; Overview_Report!$C$2</f>
        <v>Ocean Volume (DC Stock) -Actual</v>
      </c>
      <c r="B10" t="str">
        <f>Overview_Report!B15 &amp; " - wk"&amp;RIGHT(Overview_Report!$I$5,2)&amp;" FC"</f>
        <v>Ocean Volume (DC Stock) - wk37 FC</v>
      </c>
    </row>
    <row r="11" spans="1:2" x14ac:dyDescent="0.25">
      <c r="A11" t="str">
        <f>Overview_Report!B16 &amp; Overview_Report!$C$2</f>
        <v>Ocean Volume (Transit) -Actual</v>
      </c>
      <c r="B11" t="str">
        <f>Overview_Report!B16 &amp; " - wk"&amp;RIGHT(Overview_Report!$I$5,2)&amp;" FC"</f>
        <v>Ocean Volume (Transit) - wk37 FC</v>
      </c>
    </row>
    <row r="12" spans="1:2" x14ac:dyDescent="0.25">
      <c r="A12" t="str">
        <f>Overview_Report!B17 &amp; Overview_Report!$C$2</f>
        <v>- -Actual</v>
      </c>
      <c r="B12" t="str">
        <f>Overview_Report!B17 &amp; " - wk"&amp;RIGHT(Overview_Report!$I$5,2)&amp;" FC"</f>
        <v>- - wk37 FC</v>
      </c>
    </row>
    <row r="13" spans="1:2" x14ac:dyDescent="0.25">
      <c r="A13" t="str">
        <f>Overview_Report!B18 &amp; Overview_Report!$C$2</f>
        <v>DC Out from Stock to STO -Actual</v>
      </c>
      <c r="B13" t="str">
        <f>Overview_Report!B18 &amp; " - wk"&amp;RIGHT(Overview_Report!$I$5,2)&amp;" FC"</f>
        <v>DC Out from Stock to STO - wk37 FC</v>
      </c>
    </row>
    <row r="14" spans="1:2" x14ac:dyDescent="0.25">
      <c r="A14" t="str">
        <f>Overview_Report!B19 &amp; Overview_Report!$C$2</f>
        <v>DC Out from Stock to CDC -Actual</v>
      </c>
      <c r="B14" t="str">
        <f>Overview_Report!B19 &amp; " - wk"&amp;RIGHT(Overview_Report!$I$5,2)&amp;" FC"</f>
        <v>DC Out from Stock to CDC - wk37 FC</v>
      </c>
    </row>
    <row r="15" spans="1:2" x14ac:dyDescent="0.25">
      <c r="A15" t="str">
        <f>Overview_Report!B20 &amp; Overview_Report!$C$2</f>
        <v>DC Out from Stock to other BU -Actual</v>
      </c>
      <c r="B15" t="str">
        <f>Overview_Report!B20 &amp; " - wk"&amp;RIGHT(Overview_Report!$I$5,2)&amp;" FC"</f>
        <v>DC Out from Stock to other BU - wk37 FC</v>
      </c>
    </row>
    <row r="16" spans="1:2" x14ac:dyDescent="0.25">
      <c r="A16" t="str">
        <f>Overview_Report!B21 &amp; Overview_Report!$C$2</f>
        <v>Total DC Out from Stock -Actual</v>
      </c>
      <c r="B16" t="str">
        <f>Overview_Report!B21 &amp; " - wk"&amp;RIGHT(Overview_Report!$I$5,2)&amp;" FC"</f>
        <v>Total DC Out from Stock - wk37 FC</v>
      </c>
    </row>
    <row r="17" spans="1:2" x14ac:dyDescent="0.25">
      <c r="A17" t="str">
        <f>Overview_Report!B22 &amp; Overview_Report!$C$2</f>
        <v>Total DC Out Transit -Actual</v>
      </c>
      <c r="B17" t="str">
        <f>Overview_Report!B22 &amp; " - wk"&amp;RIGHT(Overview_Report!$I$5,2)&amp;" FC"</f>
        <v>Total DC Out Transit - wk37 FC</v>
      </c>
    </row>
    <row r="18" spans="1:2" x14ac:dyDescent="0.25">
      <c r="A18" t="str">
        <f>Overview_Report!B23 &amp; Overview_Report!$C$2</f>
        <v>Total Outbound -Actual</v>
      </c>
      <c r="B18" t="str">
        <f>Overview_Report!B23 &amp; " - wk"&amp;RIGHT(Overview_Report!$I$5,2)&amp;" FC"</f>
        <v>Total Outbound - wk37 FC</v>
      </c>
    </row>
    <row r="19" spans="1:2" x14ac:dyDescent="0.25">
      <c r="A19" t="str">
        <f>Overview_Report!B24 &amp; Overview_Report!$C$2</f>
        <v>Picking % -Actual</v>
      </c>
      <c r="B19" t="str">
        <f>Overview_Report!B24 &amp; " - wk"&amp;RIGHT(Overview_Report!$I$5,2)&amp;" FC"</f>
        <v>Picking % - wk37 FC</v>
      </c>
    </row>
    <row r="20" spans="1:2" x14ac:dyDescent="0.25">
      <c r="A20" t="str">
        <f>Overview_Report!B25 &amp; Overview_Report!$C$2</f>
        <v>Picking m3 -Actual</v>
      </c>
      <c r="B20" t="str">
        <f>Overview_Report!B25 &amp; " - wk"&amp;RIGHT(Overview_Report!$I$5,2)&amp;" FC"</f>
        <v>Picking m3 - wk37 FC</v>
      </c>
    </row>
    <row r="21" spans="1:2" x14ac:dyDescent="0.25">
      <c r="A21" t="str">
        <f>Overview_Report!B26 &amp; Overview_Report!$C$2</f>
        <v>Picking OL/m3 -Actual</v>
      </c>
      <c r="B21" t="str">
        <f>Overview_Report!B26 &amp; " - wk"&amp;RIGHT(Overview_Report!$I$5,2)&amp;" FC"</f>
        <v>Picking OL/m3 - wk37 FC</v>
      </c>
    </row>
    <row r="22" spans="1:2" x14ac:dyDescent="0.25">
      <c r="A22" t="str">
        <f>Overview_Report!B27 &amp; Overview_Report!$C$2</f>
        <v>Transit OL/m3 -Actual</v>
      </c>
      <c r="B22" t="str">
        <f>Overview_Report!B27 &amp; " - wk"&amp;RIGHT(Overview_Report!$I$5,2)&amp;" FC"</f>
        <v>Transit OL/m3 - wk37 FC</v>
      </c>
    </row>
    <row r="23" spans="1:2" x14ac:dyDescent="0.25">
      <c r="A23" t="str">
        <f>Overview_Report!B28 &amp; Overview_Report!$C$2</f>
        <v>Full Pallet OL/m3 -Actual</v>
      </c>
      <c r="B23" t="str">
        <f>Overview_Report!B28 &amp; " - wk"&amp;RIGHT(Overview_Report!$I$5,2)&amp;" FC"</f>
        <v>Full Pallet OL/m3 - wk37 FC</v>
      </c>
    </row>
    <row r="24" spans="1:2" x14ac:dyDescent="0.25">
      <c r="A24" t="str">
        <f>Overview_Report!B29 &amp; Overview_Report!$C$2</f>
        <v>Picking OL -Actual</v>
      </c>
      <c r="B24" t="str">
        <f>Overview_Report!B29 &amp; " - wk"&amp;RIGHT(Overview_Report!$I$5,2)&amp;" FC"</f>
        <v>Picking OL - wk37 FC</v>
      </c>
    </row>
    <row r="25" spans="1:2" x14ac:dyDescent="0.25">
      <c r="A25" t="str">
        <f>Overview_Report!B30 &amp; Overview_Report!$C$2</f>
        <v>Transit OL -Actual</v>
      </c>
      <c r="B25" t="str">
        <f>Overview_Report!B30 &amp; " - wk"&amp;RIGHT(Overview_Report!$I$5,2)&amp;" FC"</f>
        <v>Transit OL - wk37 FC</v>
      </c>
    </row>
    <row r="26" spans="1:2" x14ac:dyDescent="0.25">
      <c r="A26" t="str">
        <f>Overview_Report!B31 &amp; Overview_Report!$C$2</f>
        <v>Full Pallet OL -Actual</v>
      </c>
      <c r="B26" t="str">
        <f>Overview_Report!B31 &amp; " - wk"&amp;RIGHT(Overview_Report!$I$5,2)&amp;" FC"</f>
        <v>Full Pallet OL - wk37 FC</v>
      </c>
    </row>
    <row r="27" spans="1:2" x14ac:dyDescent="0.25">
      <c r="A27" t="str">
        <f>Overview_Report!B32 &amp; Overview_Report!$C$2</f>
        <v>Total OL -Actual</v>
      </c>
      <c r="B27" t="str">
        <f>Overview_Report!B32 &amp; " - wk"&amp;RIGHT(Overview_Report!$I$5,2)&amp;" FC"</f>
        <v>Total OL - wk37 FC</v>
      </c>
    </row>
    <row r="28" spans="1:2" x14ac:dyDescent="0.25">
      <c r="A28" t="str">
        <f>Overview_Report!B33 &amp; Overview_Report!$C$2</f>
        <v>- -Actual</v>
      </c>
      <c r="B28" t="str">
        <f>Overview_Report!B33 &amp; " - wk"&amp;RIGHT(Overview_Report!$I$5,2)&amp;" FC"</f>
        <v>- - wk37 FC</v>
      </c>
    </row>
    <row r="29" spans="1:2" x14ac:dyDescent="0.25">
      <c r="A29" t="str">
        <f>Overview_Report!B34 &amp; Overview_Report!$C$2</f>
        <v>Total Handling (before Queue Correction) -Actual</v>
      </c>
      <c r="B29" t="str">
        <f>Overview_Report!B34 &amp; " - wk"&amp;RIGHT(Overview_Report!$I$5,2)&amp;" FC"</f>
        <v>Total Handling (before Queue Correction) - wk37 FC</v>
      </c>
    </row>
    <row r="30" spans="1:2" x14ac:dyDescent="0.25">
      <c r="A30" t="str">
        <f>Overview_Report!B35 &amp; Overview_Report!$C$2</f>
        <v>Total Handling (Queue Corrected) -Actual</v>
      </c>
      <c r="B30" t="str">
        <f>Overview_Report!B35 &amp; " - wk"&amp;RIGHT(Overview_Report!$I$5,2)&amp;" FC"</f>
        <v>Total Handling (Queue Corrected) - wk37 FC</v>
      </c>
    </row>
    <row r="31" spans="1:2" x14ac:dyDescent="0.25">
      <c r="A31" t="str">
        <f>Overview_Report!B36 &amp; Overview_Report!$C$2</f>
        <v>- -Actual</v>
      </c>
      <c r="B31" t="str">
        <f>Overview_Report!B36 &amp; " - wk"&amp;RIGHT(Overview_Report!$I$5,2)&amp;" FC"</f>
        <v>- - wk37 FC</v>
      </c>
    </row>
    <row r="32" spans="1:2" x14ac:dyDescent="0.25">
      <c r="A32" t="str">
        <f>Overview_Report!B37 &amp; Overview_Report!$C$2</f>
        <v>Total Upside Handling Capacity -Actual</v>
      </c>
      <c r="B32" t="str">
        <f>Overview_Report!B37 &amp; " - wk"&amp;RIGHT(Overview_Report!$I$5,2)&amp;" FC"</f>
        <v>Total Upside Handling Capacity - wk37 FC</v>
      </c>
    </row>
    <row r="33" spans="1:2" x14ac:dyDescent="0.25">
      <c r="A33" t="str">
        <f>Overview_Report!B38 &amp; Overview_Report!$C$2</f>
        <v>- -Actual</v>
      </c>
      <c r="B33" t="str">
        <f>Overview_Report!B38 &amp; " - wk"&amp;RIGHT(Overview_Report!$I$5,2)&amp;" FC"</f>
        <v>- - wk37 FC</v>
      </c>
    </row>
    <row r="34" spans="1:2" x14ac:dyDescent="0.25">
      <c r="A34" t="str">
        <f>Overview_Report!B39 &amp; Overview_Report!$C$2</f>
        <v>Total Upside Handling Capacity Utilization % -Actual</v>
      </c>
      <c r="B34" t="str">
        <f>Overview_Report!B39 &amp; " - wk"&amp;RIGHT(Overview_Report!$I$5,2)&amp;" FC"</f>
        <v>Total Upside Handling Capacity Utilization % - wk37 FC</v>
      </c>
    </row>
    <row r="35" spans="1:2" x14ac:dyDescent="0.25">
      <c r="A35" t="str">
        <f>Overview_Report!B40 &amp; Overview_Report!$C$2</f>
        <v>Total Upside Handling Capacity Utilization % (Queue Corrected) -Actual</v>
      </c>
      <c r="B35" t="str">
        <f>Overview_Report!B40 &amp; " - wk"&amp;RIGHT(Overview_Report!$I$5,2)&amp;" FC"</f>
        <v>Total Upside Handling Capacity Utilization % (Queue Corrected) - wk37 FC</v>
      </c>
    </row>
    <row r="36" spans="1:2" x14ac:dyDescent="0.25">
      <c r="A36" t="str">
        <f>Overview_Report!B41 &amp; Overview_Report!$C$2</f>
        <v>- -Actual</v>
      </c>
      <c r="B36" t="str">
        <f>Overview_Report!B41 &amp; " - wk"&amp;RIGHT(Overview_Report!$I$5,2)&amp;" FC"</f>
        <v>- - wk37 FC</v>
      </c>
    </row>
    <row r="37" spans="1:2" x14ac:dyDescent="0.25">
      <c r="A37" t="str">
        <f>Overview_Report!B42 &amp; Overview_Report!$C$2</f>
        <v>Stock in DC + Ext. Storage -Actual</v>
      </c>
      <c r="B37" t="str">
        <f>Overview_Report!B42 &amp; " - wk"&amp;RIGHT(Overview_Report!$I$5,2)&amp;" FC"</f>
        <v>Stock in DC + Ext. Storage - wk37 FC</v>
      </c>
    </row>
    <row r="38" spans="1:2" x14ac:dyDescent="0.25">
      <c r="A38" t="str">
        <f>Overview_Report!B43 &amp; Overview_Report!$C$2</f>
        <v>Container m3 in Queue -Actual</v>
      </c>
      <c r="B38" t="str">
        <f>Overview_Report!B43 &amp; " - wk"&amp;RIGHT(Overview_Report!$I$5,2)&amp;" FC"</f>
        <v>Container m3 in Queue - wk37 FC</v>
      </c>
    </row>
    <row r="39" spans="1:2" x14ac:dyDescent="0.25">
      <c r="A39" t="str">
        <f>Overview_Report!B45 &amp; Overview_Report!$C$2</f>
        <v>Stock incl. Queue -Actual</v>
      </c>
      <c r="B39" t="str">
        <f>Overview_Report!B45 &amp; " - wk"&amp;RIGHT(Overview_Report!$I$5,2)&amp;" FC"</f>
        <v>Stock incl. Queue - wk37 FC</v>
      </c>
    </row>
    <row r="40" spans="1:2" x14ac:dyDescent="0.25">
      <c r="A40" t="str">
        <f>Overview_Report!B46 &amp; Overview_Report!$C$2</f>
        <v>Main Building Stock -Actual</v>
      </c>
      <c r="B40" t="str">
        <f>Overview_Report!B46 &amp; " - wk"&amp;RIGHT(Overview_Report!$I$5,2)&amp;" FC"</f>
        <v>Main Building Stock - wk37 FC</v>
      </c>
    </row>
    <row r="41" spans="1:2" x14ac:dyDescent="0.25">
      <c r="A41" t="str">
        <f>Overview_Report!B47 &amp; Overview_Report!$C$2</f>
        <v>Main Building Capacity m3 -Actual</v>
      </c>
      <c r="B41" t="str">
        <f>Overview_Report!B47 &amp; " - wk"&amp;RIGHT(Overview_Report!$I$5,2)&amp;" FC"</f>
        <v>Main Building Capacity m3 - wk37 FC</v>
      </c>
    </row>
    <row r="42" spans="1:2" x14ac:dyDescent="0.25">
      <c r="A42" t="str">
        <f>Overview_Report!B48 &amp; Overview_Report!$C$2</f>
        <v>Main Building Storage Utilization -Actual</v>
      </c>
      <c r="B42" t="str">
        <f>Overview_Report!B48 &amp; " - wk"&amp;RIGHT(Overview_Report!$I$5,2)&amp;" FC"</f>
        <v>Main Building Storage Utilization - wk37 FC</v>
      </c>
    </row>
    <row r="43" spans="1:2" x14ac:dyDescent="0.25">
      <c r="A43" t="str">
        <f>Overview_Report!B49 &amp; Overview_Report!$C$2</f>
        <v>External Stock -Actual</v>
      </c>
      <c r="B43" t="str">
        <f>Overview_Report!B49 &amp; " - wk"&amp;RIGHT(Overview_Report!$I$5,2)&amp;" FC"</f>
        <v>External Stock - wk37 FC</v>
      </c>
    </row>
    <row r="44" spans="1:2" x14ac:dyDescent="0.25">
      <c r="A44" t="str">
        <f>Overview_Report!B50 &amp; Overview_Report!$C$2</f>
        <v>External Capacity m3 -Actual</v>
      </c>
      <c r="B44" t="str">
        <f>Overview_Report!B50 &amp; " - wk"&amp;RIGHT(Overview_Report!$I$5,2)&amp;" FC"</f>
        <v>External Capacity m3 - wk37 FC</v>
      </c>
    </row>
  </sheetData>
  <pageMargins left="0.7" right="0.7" top="0.75" bottom="0.75" header="0.3" footer="0.3"/>
  <headerFooter>
    <oddFooter>&amp;C_x000D_&amp;1#&amp;"Noto IKEA Latin"&amp;8&amp;K5A5A5A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H57"/>
  <sheetViews>
    <sheetView tabSelected="1" zoomScale="85" zoomScaleNormal="85" workbookViewId="0">
      <pane ySplit="5" topLeftCell="A6" activePane="bottomLeft" state="frozen"/>
      <selection activeCell="B1" sqref="B1"/>
      <selection pane="bottomLeft" activeCell="B32" sqref="B6:B32"/>
    </sheetView>
  </sheetViews>
  <sheetFormatPr defaultColWidth="9.140625" defaultRowHeight="15" x14ac:dyDescent="0.25"/>
  <cols>
    <col min="1" max="1" width="36.28515625" hidden="1" customWidth="1"/>
    <col min="2" max="2" width="61.140625" bestFit="1" customWidth="1"/>
    <col min="3" max="30" width="9.85546875" bestFit="1" customWidth="1"/>
    <col min="31" max="34" width="12.42578125" bestFit="1" customWidth="1"/>
  </cols>
  <sheetData>
    <row r="1" spans="1:34" x14ac:dyDescent="0.25">
      <c r="N1" s="175" t="s">
        <v>72</v>
      </c>
      <c r="O1" s="175"/>
      <c r="P1" s="126">
        <f>AVERAGE(Sheet1!A3:A28)</f>
        <v>0.68796729518394173</v>
      </c>
      <c r="Q1" s="123"/>
    </row>
    <row r="2" spans="1:34" x14ac:dyDescent="0.25">
      <c r="C2" s="174" t="s">
        <v>51</v>
      </c>
      <c r="D2" s="174"/>
      <c r="E2" s="174"/>
      <c r="F2" s="174"/>
      <c r="G2" s="174"/>
      <c r="H2" s="174"/>
      <c r="N2" t="s">
        <v>73</v>
      </c>
      <c r="O2" s="124">
        <f>_xlfn.XLOOKUP("Total Storage Utilization",$B:$B,I:I)</f>
        <v>0.55780816394763577</v>
      </c>
      <c r="P2" s="124">
        <f>_xlfn.XLOOKUP("Total Storage Utilization",$B:$B,AH:AH)</f>
        <v>0.4889365957307617</v>
      </c>
    </row>
    <row r="3" spans="1:34" x14ac:dyDescent="0.25">
      <c r="C3" s="175" t="s">
        <v>61</v>
      </c>
      <c r="D3" s="175"/>
      <c r="E3" s="175"/>
      <c r="F3" s="175"/>
      <c r="G3" s="175"/>
      <c r="H3" s="175"/>
      <c r="I3" s="175" t="s">
        <v>62</v>
      </c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</row>
    <row r="5" spans="1:34" x14ac:dyDescent="0.25">
      <c r="B5" s="122" t="s">
        <v>71</v>
      </c>
      <c r="C5" s="168" t="str">
        <f>'Paste Here'!B1</f>
        <v>202631</v>
      </c>
      <c r="D5" s="168" t="str">
        <f>'Paste Here'!C1</f>
        <v>202632</v>
      </c>
      <c r="E5" s="168" t="str">
        <f>'Paste Here'!D1</f>
        <v>202633</v>
      </c>
      <c r="F5" s="168" t="str">
        <f>'Paste Here'!E1</f>
        <v>202634</v>
      </c>
      <c r="G5" s="168" t="str">
        <f>'Paste Here'!F1</f>
        <v>202635</v>
      </c>
      <c r="H5" s="168" t="str">
        <f>'Paste Here'!G1</f>
        <v>202636</v>
      </c>
      <c r="I5" s="168" t="str">
        <f>'Paste Here'!H1</f>
        <v>202637</v>
      </c>
      <c r="J5" s="168" t="str">
        <f>'Paste Here'!I1</f>
        <v>202638</v>
      </c>
      <c r="K5" s="168" t="str">
        <f>'Paste Here'!J1</f>
        <v>202639</v>
      </c>
      <c r="L5" s="168" t="str">
        <f>'Paste Here'!K1</f>
        <v>202640</v>
      </c>
      <c r="M5" s="168" t="str">
        <f>'Paste Here'!L1</f>
        <v>202641</v>
      </c>
      <c r="N5" s="168" t="str">
        <f>'Paste Here'!M1</f>
        <v>202642</v>
      </c>
      <c r="O5" s="168" t="str">
        <f>'Paste Here'!N1</f>
        <v>202643</v>
      </c>
      <c r="P5" s="168" t="str">
        <f>'Paste Here'!O1</f>
        <v>202644</v>
      </c>
      <c r="Q5" s="168" t="str">
        <f>'Paste Here'!P1</f>
        <v>202645</v>
      </c>
      <c r="R5" s="168" t="str">
        <f>'Paste Here'!Q1</f>
        <v>202646</v>
      </c>
      <c r="S5" s="168" t="str">
        <f>'Paste Here'!R1</f>
        <v>202647</v>
      </c>
      <c r="T5" s="168" t="str">
        <f>'Paste Here'!S1</f>
        <v>202648</v>
      </c>
      <c r="U5" s="168" t="str">
        <f>'Paste Here'!T1</f>
        <v>202649</v>
      </c>
      <c r="V5" s="168" t="str">
        <f>'Paste Here'!U1</f>
        <v>202650</v>
      </c>
      <c r="W5" s="168" t="str">
        <f>'Paste Here'!V1</f>
        <v>202651</v>
      </c>
      <c r="X5" s="168" t="str">
        <f>'Paste Here'!W1</f>
        <v>202652</v>
      </c>
      <c r="Y5" s="168" t="str">
        <f>'Paste Here'!X1</f>
        <v>202653</v>
      </c>
      <c r="Z5" s="168" t="str">
        <f>'Paste Here'!Y1</f>
        <v>202701</v>
      </c>
      <c r="AA5" s="168" t="str">
        <f>'Paste Here'!Z1</f>
        <v>202702</v>
      </c>
      <c r="AB5" s="168" t="str">
        <f>'Paste Here'!AA1</f>
        <v>202703</v>
      </c>
      <c r="AC5" s="168" t="str">
        <f>'Paste Here'!AB1</f>
        <v>202704</v>
      </c>
      <c r="AD5" s="168" t="str">
        <f>'Paste Here'!AC1</f>
        <v>202705</v>
      </c>
      <c r="AE5" s="168" t="str">
        <f>'Paste Here'!AD1</f>
        <v>202706</v>
      </c>
      <c r="AF5" s="168" t="str">
        <f>'Paste Here'!AE1</f>
        <v>202707</v>
      </c>
      <c r="AG5" s="168" t="str">
        <f>'Paste Here'!AF1</f>
        <v>202708</v>
      </c>
      <c r="AH5" s="168" t="str">
        <f>'Paste Here'!AG1</f>
        <v>202709</v>
      </c>
    </row>
    <row r="6" spans="1:34" x14ac:dyDescent="0.25">
      <c r="B6" t="s">
        <v>0</v>
      </c>
      <c r="C6" s="130">
        <f>IFERROR(_xlfn.XLOOKUP($B6,'Paste Here'!$A:$A,'Paste Here'!B:B),0)</f>
        <v>12448.035999999998</v>
      </c>
      <c r="D6" s="130">
        <f>IFERROR(_xlfn.XLOOKUP($B6,'Paste Here'!$A:$A,'Paste Here'!C:C),0)</f>
        <v>11717.21</v>
      </c>
      <c r="E6" s="130">
        <f>IFERROR(_xlfn.XLOOKUP($B6,'Paste Here'!$A:$A,'Paste Here'!D:D),0)</f>
        <v>10275.363999999998</v>
      </c>
      <c r="F6" s="130">
        <f>IFERROR(_xlfn.XLOOKUP($B6,'Paste Here'!$A:$A,'Paste Here'!E:E),0)</f>
        <v>10026.023000000001</v>
      </c>
      <c r="G6" s="130">
        <f>IFERROR(_xlfn.XLOOKUP($B6,'Paste Here'!$A:$A,'Paste Here'!F:F),0)</f>
        <v>10575.209000000001</v>
      </c>
      <c r="H6" s="130">
        <f>IFERROR(_xlfn.XLOOKUP($B6,'Paste Here'!$A:$A,'Paste Here'!G:G),0)</f>
        <v>10369.806</v>
      </c>
      <c r="I6" s="135">
        <f>IFERROR(_xlfn.XLOOKUP($B6,'Paste Here'!$A:$A,'Paste Here'!H:H),0)</f>
        <v>14672.400283450001</v>
      </c>
      <c r="J6" s="135">
        <f>IFERROR(_xlfn.XLOOKUP($B6,'Paste Here'!$A:$A,'Paste Here'!I:I),0)</f>
        <v>15349.05772423879</v>
      </c>
      <c r="K6" s="135">
        <f>IFERROR(_xlfn.XLOOKUP($B6,'Paste Here'!$A:$A,'Paste Here'!J:J),0)</f>
        <v>14353.114115378627</v>
      </c>
      <c r="L6" s="135">
        <f>IFERROR(_xlfn.XLOOKUP($B6,'Paste Here'!$A:$A,'Paste Here'!K:K),0)</f>
        <v>14978.464439622458</v>
      </c>
      <c r="M6" s="135">
        <f>IFERROR(_xlfn.XLOOKUP($B6,'Paste Here'!$A:$A,'Paste Here'!L:L),0)</f>
        <v>15395.956954059664</v>
      </c>
      <c r="N6" s="135">
        <f>IFERROR(_xlfn.XLOOKUP($B6,'Paste Here'!$A:$A,'Paste Here'!M:M),0)</f>
        <v>15299.084965866681</v>
      </c>
      <c r="O6" s="135">
        <f>IFERROR(_xlfn.XLOOKUP($B6,'Paste Here'!$A:$A,'Paste Here'!N:N),0)</f>
        <v>13189.965081678058</v>
      </c>
      <c r="P6" s="135">
        <f>IFERROR(_xlfn.XLOOKUP($B6,'Paste Here'!$A:$A,'Paste Here'!O:O),0)</f>
        <v>13246.090074756807</v>
      </c>
      <c r="Q6" s="135">
        <f>IFERROR(_xlfn.XLOOKUP($B6,'Paste Here'!$A:$A,'Paste Here'!P:P),0)</f>
        <v>11270.433384224656</v>
      </c>
      <c r="R6" s="135">
        <f>IFERROR(_xlfn.XLOOKUP($B6,'Paste Here'!$A:$A,'Paste Here'!Q:Q),0)</f>
        <v>13347.992601662298</v>
      </c>
      <c r="S6" s="135">
        <f>IFERROR(_xlfn.XLOOKUP($B6,'Paste Here'!$A:$A,'Paste Here'!R:R),0)</f>
        <v>9557.7071572705645</v>
      </c>
      <c r="T6" s="135">
        <f>IFERROR(_xlfn.XLOOKUP($B6,'Paste Here'!$A:$A,'Paste Here'!S:S),0)</f>
        <v>9005.6084723712429</v>
      </c>
      <c r="U6" s="135">
        <f>IFERROR(_xlfn.XLOOKUP($B6,'Paste Here'!$A:$A,'Paste Here'!T:T),0)</f>
        <v>10459.950423392678</v>
      </c>
      <c r="V6" s="135">
        <f>IFERROR(_xlfn.XLOOKUP($B6,'Paste Here'!$A:$A,'Paste Here'!U:U),0)</f>
        <v>12415.626405312534</v>
      </c>
      <c r="W6" s="135">
        <f>IFERROR(_xlfn.XLOOKUP($B6,'Paste Here'!$A:$A,'Paste Here'!V:V),0)</f>
        <v>12021.141149145484</v>
      </c>
      <c r="X6" s="135">
        <f>IFERROR(_xlfn.XLOOKUP($B6,'Paste Here'!$A:$A,'Paste Here'!W:W),0)</f>
        <v>12413.763077752263</v>
      </c>
      <c r="Y6" s="135">
        <f>IFERROR(_xlfn.XLOOKUP($B6,'Paste Here'!$A:$A,'Paste Here'!X:X),0)</f>
        <v>12822.596300086119</v>
      </c>
      <c r="Z6" s="135">
        <f>IFERROR(_xlfn.XLOOKUP($B6,'Paste Here'!$A:$A,'Paste Here'!Y:Y),0)</f>
        <v>13275.147704868352</v>
      </c>
      <c r="AA6" s="135">
        <f>IFERROR(_xlfn.XLOOKUP($B6,'Paste Here'!$A:$A,'Paste Here'!Z:Z),0)</f>
        <v>11291.124434748028</v>
      </c>
      <c r="AB6" s="135">
        <f>IFERROR(_xlfn.XLOOKUP($B6,'Paste Here'!$A:$A,'Paste Here'!AA:AA),0)</f>
        <v>10589.557039204816</v>
      </c>
      <c r="AC6" s="135">
        <f>IFERROR(_xlfn.XLOOKUP($B6,'Paste Here'!$A:$A,'Paste Here'!AB:AB),0)</f>
        <v>11731.237255467211</v>
      </c>
      <c r="AD6" s="135">
        <f>IFERROR(_xlfn.XLOOKUP($B6,'Paste Here'!$A:$A,'Paste Here'!AC:AC),0)</f>
        <v>14005.410121438706</v>
      </c>
      <c r="AE6" s="135">
        <f>IFERROR(_xlfn.XLOOKUP($B6,'Paste Here'!$A:$A,'Paste Here'!AD:AD),0)</f>
        <v>13519.746505772277</v>
      </c>
      <c r="AF6" s="135">
        <f>IFERROR(_xlfn.XLOOKUP($B6,'Paste Here'!$A:$A,'Paste Here'!AE:AE),0)</f>
        <v>12613.553091539012</v>
      </c>
      <c r="AG6" s="135">
        <f>IFERROR(_xlfn.XLOOKUP($B6,'Paste Here'!$A:$A,'Paste Here'!AF:AF),0)</f>
        <v>13414.413512573394</v>
      </c>
      <c r="AH6" s="135">
        <f>IFERROR(_xlfn.XLOOKUP($B6,'Paste Here'!$A:$A,'Paste Here'!AG:AG),0)</f>
        <v>12304.597055613463</v>
      </c>
    </row>
    <row r="7" spans="1:34" x14ac:dyDescent="0.25">
      <c r="A7" s="2" t="s">
        <v>33</v>
      </c>
      <c r="B7" s="80" t="s">
        <v>2</v>
      </c>
      <c r="C7" s="130">
        <f>IFERROR(_xlfn.XLOOKUP($B7,'Paste Here'!$A:$A,'Paste Here'!B:B),0)</f>
        <v>17464.036</v>
      </c>
      <c r="D7" s="130">
        <f>IFERROR(_xlfn.XLOOKUP($B7,'Paste Here'!$A:$A,'Paste Here'!C:C),0)</f>
        <v>9095.2099999999991</v>
      </c>
      <c r="E7" s="130">
        <f>IFERROR(_xlfn.XLOOKUP($B7,'Paste Here'!$A:$A,'Paste Here'!D:D),0)</f>
        <v>10503.363999999998</v>
      </c>
      <c r="F7" s="130">
        <f>IFERROR(_xlfn.XLOOKUP($B7,'Paste Here'!$A:$A,'Paste Here'!E:E),0)</f>
        <v>17607.023000000001</v>
      </c>
      <c r="G7" s="130">
        <f>IFERROR(_xlfn.XLOOKUP($B7,'Paste Here'!$A:$A,'Paste Here'!F:F),0)</f>
        <v>14166.209000000001</v>
      </c>
      <c r="H7" s="130">
        <f>IFERROR(_xlfn.XLOOKUP($B7,'Paste Here'!$A:$A,'Paste Here'!G:G),0)</f>
        <v>11395.806</v>
      </c>
      <c r="I7" s="164">
        <f>IFERROR(_xlfn.XLOOKUP($B7,'Paste Here'!$A:$A,'Paste Here'!H:H),0)</f>
        <v>10691.360499999997</v>
      </c>
      <c r="J7" s="164">
        <f>IFERROR(_xlfn.XLOOKUP($B7,'Paste Here'!$A:$A,'Paste Here'!I:I),0)</f>
        <v>12591.411881412061</v>
      </c>
      <c r="K7" s="164">
        <f>IFERROR(_xlfn.XLOOKUP($B7,'Paste Here'!$A:$A,'Paste Here'!J:J),0)</f>
        <v>9816.422723261705</v>
      </c>
      <c r="L7" s="164">
        <f>IFERROR(_xlfn.XLOOKUP($B7,'Paste Here'!$A:$A,'Paste Here'!K:K),0)</f>
        <v>11558.830982508942</v>
      </c>
      <c r="M7" s="164">
        <f>IFERROR(_xlfn.XLOOKUP($B7,'Paste Here'!$A:$A,'Paste Here'!L:L),0)</f>
        <v>12722.086804289949</v>
      </c>
      <c r="N7" s="164">
        <f>IFERROR(_xlfn.XLOOKUP($B7,'Paste Here'!$A:$A,'Paste Here'!M:M),0)</f>
        <v>12452.173212222573</v>
      </c>
      <c r="O7" s="164">
        <f>IFERROR(_xlfn.XLOOKUP($B7,'Paste Here'!$A:$A,'Paste Here'!N:N),0)</f>
        <v>10719.757460599054</v>
      </c>
      <c r="P7" s="164">
        <f>IFERROR(_xlfn.XLOOKUP($B7,'Paste Here'!$A:$A,'Paste Here'!O:O),0)</f>
        <v>13246.090074756803</v>
      </c>
      <c r="Q7" s="164">
        <f>IFERROR(_xlfn.XLOOKUP($B7,'Paste Here'!$A:$A,'Paste Here'!P:P),0)</f>
        <v>11270.433384224656</v>
      </c>
      <c r="R7" s="164">
        <f>IFERROR(_xlfn.XLOOKUP($B7,'Paste Here'!$A:$A,'Paste Here'!Q:Q),0)</f>
        <v>13347.992601662299</v>
      </c>
      <c r="S7" s="164">
        <f>IFERROR(_xlfn.XLOOKUP($B7,'Paste Here'!$A:$A,'Paste Here'!R:R),0)</f>
        <v>9557.7071572705609</v>
      </c>
      <c r="T7" s="164">
        <f>IFERROR(_xlfn.XLOOKUP($B7,'Paste Here'!$A:$A,'Paste Here'!S:S),0)</f>
        <v>9005.6084723712429</v>
      </c>
      <c r="U7" s="164">
        <f>IFERROR(_xlfn.XLOOKUP($B7,'Paste Here'!$A:$A,'Paste Here'!T:T),0)</f>
        <v>10459.950423392678</v>
      </c>
      <c r="V7" s="164">
        <f>IFERROR(_xlfn.XLOOKUP($B7,'Paste Here'!$A:$A,'Paste Here'!U:U),0)</f>
        <v>12415.626405312536</v>
      </c>
      <c r="W7" s="164">
        <f>IFERROR(_xlfn.XLOOKUP($B7,'Paste Here'!$A:$A,'Paste Here'!V:V),0)</f>
        <v>12021.141149145486</v>
      </c>
      <c r="X7" s="164">
        <f>IFERROR(_xlfn.XLOOKUP($B7,'Paste Here'!$A:$A,'Paste Here'!W:W),0)</f>
        <v>12413.763077752263</v>
      </c>
      <c r="Y7" s="164">
        <f>IFERROR(_xlfn.XLOOKUP($B7,'Paste Here'!$A:$A,'Paste Here'!X:X),0)</f>
        <v>12822.596300086117</v>
      </c>
      <c r="Z7" s="164">
        <f>IFERROR(_xlfn.XLOOKUP($B7,'Paste Here'!$A:$A,'Paste Here'!Y:Y),0)</f>
        <v>13275.147704868352</v>
      </c>
      <c r="AA7" s="164">
        <f>IFERROR(_xlfn.XLOOKUP($B7,'Paste Here'!$A:$A,'Paste Here'!Z:Z),0)</f>
        <v>11291.12443474803</v>
      </c>
      <c r="AB7" s="164">
        <f>IFERROR(_xlfn.XLOOKUP($B7,'Paste Here'!$A:$A,'Paste Here'!AA:AA),0)</f>
        <v>10589.557039204816</v>
      </c>
      <c r="AC7" s="164">
        <f>IFERROR(_xlfn.XLOOKUP($B7,'Paste Here'!$A:$A,'Paste Here'!AB:AB),0)</f>
        <v>11731.237255467207</v>
      </c>
      <c r="AD7" s="164">
        <f>IFERROR(_xlfn.XLOOKUP($B7,'Paste Here'!$A:$A,'Paste Here'!AC:AC),0)</f>
        <v>14005.410121438706</v>
      </c>
      <c r="AE7" s="164">
        <f>IFERROR(_xlfn.XLOOKUP($B7,'Paste Here'!$A:$A,'Paste Here'!AD:AD),0)</f>
        <v>13519.746505772275</v>
      </c>
      <c r="AF7" s="164">
        <f>IFERROR(_xlfn.XLOOKUP($B7,'Paste Here'!$A:$A,'Paste Here'!AE:AE),0)</f>
        <v>12613.55309153901</v>
      </c>
      <c r="AG7" s="164">
        <f>IFERROR(_xlfn.XLOOKUP($B7,'Paste Here'!$A:$A,'Paste Here'!AF:AF),0)</f>
        <v>13414.413512573394</v>
      </c>
      <c r="AH7" s="164">
        <f>IFERROR(_xlfn.XLOOKUP($B7,'Paste Here'!$A:$A,'Paste Here'!AG:AG),0)</f>
        <v>12304.597055613463</v>
      </c>
    </row>
    <row r="8" spans="1:34" x14ac:dyDescent="0.25">
      <c r="A8" s="2" t="s">
        <v>35</v>
      </c>
      <c r="B8" s="80" t="s">
        <v>1</v>
      </c>
      <c r="C8" s="130">
        <f>IFERROR(_xlfn.XLOOKUP($B8,'Paste Here'!$A:$A,'Paste Here'!B:B),0)</f>
        <v>191.42200000000003</v>
      </c>
      <c r="D8" s="130">
        <f>IFERROR(_xlfn.XLOOKUP($B8,'Paste Here'!$A:$A,'Paste Here'!C:C),0)</f>
        <v>51.860999999999997</v>
      </c>
      <c r="E8" s="130">
        <f>IFERROR(_xlfn.XLOOKUP($B8,'Paste Here'!$A:$A,'Paste Here'!D:D),0)</f>
        <v>0</v>
      </c>
      <c r="F8" s="130">
        <f>IFERROR(_xlfn.XLOOKUP($B8,'Paste Here'!$A:$A,'Paste Here'!E:E),0)</f>
        <v>0</v>
      </c>
      <c r="G8" s="130">
        <f>IFERROR(_xlfn.XLOOKUP($B8,'Paste Here'!$A:$A,'Paste Here'!F:F),0)</f>
        <v>0</v>
      </c>
      <c r="H8" s="130">
        <f>IFERROR(_xlfn.XLOOKUP($B8,'Paste Here'!$A:$A,'Paste Here'!G:G),0)</f>
        <v>0.51900000000000002</v>
      </c>
      <c r="I8" s="164">
        <f>IFERROR(_xlfn.XLOOKUP($B8,'Paste Here'!$A:$A,'Paste Here'!H:H),0)</f>
        <v>5.2709999999999999</v>
      </c>
      <c r="J8" s="164">
        <f>IFERROR(_xlfn.XLOOKUP($B8,'Paste Here'!$A:$A,'Paste Here'!I:I),0)</f>
        <v>0</v>
      </c>
      <c r="K8" s="164">
        <f>IFERROR(_xlfn.XLOOKUP($B8,'Paste Here'!$A:$A,'Paste Here'!J:J),0)</f>
        <v>0</v>
      </c>
      <c r="L8" s="164">
        <f>IFERROR(_xlfn.XLOOKUP($B8,'Paste Here'!$A:$A,'Paste Here'!K:K),0)</f>
        <v>0</v>
      </c>
      <c r="M8" s="164">
        <f>IFERROR(_xlfn.XLOOKUP($B8,'Paste Here'!$A:$A,'Paste Here'!L:L),0)</f>
        <v>0</v>
      </c>
      <c r="N8" s="164">
        <f>IFERROR(_xlfn.XLOOKUP($B8,'Paste Here'!$A:$A,'Paste Here'!M:M),0)</f>
        <v>0</v>
      </c>
      <c r="O8" s="164">
        <f>IFERROR(_xlfn.XLOOKUP($B8,'Paste Here'!$A:$A,'Paste Here'!N:N),0)</f>
        <v>0</v>
      </c>
      <c r="P8" s="164">
        <f>IFERROR(_xlfn.XLOOKUP($B8,'Paste Here'!$A:$A,'Paste Here'!O:O),0)</f>
        <v>0</v>
      </c>
      <c r="Q8" s="164">
        <f>IFERROR(_xlfn.XLOOKUP($B8,'Paste Here'!$A:$A,'Paste Here'!P:P),0)</f>
        <v>0</v>
      </c>
      <c r="R8" s="164">
        <f>IFERROR(_xlfn.XLOOKUP($B8,'Paste Here'!$A:$A,'Paste Here'!Q:Q),0)</f>
        <v>0</v>
      </c>
      <c r="S8" s="164">
        <f>IFERROR(_xlfn.XLOOKUP($B8,'Paste Here'!$A:$A,'Paste Here'!R:R),0)</f>
        <v>0</v>
      </c>
      <c r="T8" s="164">
        <f>IFERROR(_xlfn.XLOOKUP($B8,'Paste Here'!$A:$A,'Paste Here'!S:S),0)</f>
        <v>0</v>
      </c>
      <c r="U8" s="164">
        <f>IFERROR(_xlfn.XLOOKUP($B8,'Paste Here'!$A:$A,'Paste Here'!T:T),0)</f>
        <v>0</v>
      </c>
      <c r="V8" s="164">
        <f>IFERROR(_xlfn.XLOOKUP($B8,'Paste Here'!$A:$A,'Paste Here'!U:U),0)</f>
        <v>0</v>
      </c>
      <c r="W8" s="164">
        <f>IFERROR(_xlfn.XLOOKUP($B8,'Paste Here'!$A:$A,'Paste Here'!V:V),0)</f>
        <v>0</v>
      </c>
      <c r="X8" s="164">
        <f>IFERROR(_xlfn.XLOOKUP($B8,'Paste Here'!$A:$A,'Paste Here'!W:W),0)</f>
        <v>0</v>
      </c>
      <c r="Y8" s="164">
        <f>IFERROR(_xlfn.XLOOKUP($B8,'Paste Here'!$A:$A,'Paste Here'!X:X),0)</f>
        <v>0</v>
      </c>
      <c r="Z8" s="164">
        <f>IFERROR(_xlfn.XLOOKUP($B8,'Paste Here'!$A:$A,'Paste Here'!Y:Y),0)</f>
        <v>0</v>
      </c>
      <c r="AA8" s="164">
        <f>IFERROR(_xlfn.XLOOKUP($B8,'Paste Here'!$A:$A,'Paste Here'!Z:Z),0)</f>
        <v>0</v>
      </c>
      <c r="AB8" s="164">
        <f>IFERROR(_xlfn.XLOOKUP($B8,'Paste Here'!$A:$A,'Paste Here'!AA:AA),0)</f>
        <v>0</v>
      </c>
      <c r="AC8" s="164">
        <f>IFERROR(_xlfn.XLOOKUP($B8,'Paste Here'!$A:$A,'Paste Here'!AB:AB),0)</f>
        <v>0</v>
      </c>
      <c r="AD8" s="164">
        <f>IFERROR(_xlfn.XLOOKUP($B8,'Paste Here'!$A:$A,'Paste Here'!AC:AC),0)</f>
        <v>0</v>
      </c>
      <c r="AE8" s="164">
        <f>IFERROR(_xlfn.XLOOKUP($B8,'Paste Here'!$A:$A,'Paste Here'!AD:AD),0)</f>
        <v>0</v>
      </c>
      <c r="AF8" s="164">
        <f>IFERROR(_xlfn.XLOOKUP($B8,'Paste Here'!$A:$A,'Paste Here'!AE:AE),0)</f>
        <v>0</v>
      </c>
      <c r="AG8" s="164">
        <f>IFERROR(_xlfn.XLOOKUP($B8,'Paste Here'!$A:$A,'Paste Here'!AF:AF),0)</f>
        <v>0</v>
      </c>
      <c r="AH8" s="164">
        <f>IFERROR(_xlfn.XLOOKUP($B8,'Paste Here'!$A:$A,'Paste Here'!AG:AG),0)</f>
        <v>0</v>
      </c>
    </row>
    <row r="9" spans="1:34" x14ac:dyDescent="0.25">
      <c r="A9" s="2" t="s">
        <v>33</v>
      </c>
      <c r="B9" t="s">
        <v>60</v>
      </c>
      <c r="C9" s="130">
        <f>IFERROR(_xlfn.XLOOKUP($B9,'Paste Here'!$A:$A,'Paste Here'!B:B),0)</f>
        <v>17655.457999999999</v>
      </c>
      <c r="D9" s="130">
        <f>IFERROR(_xlfn.XLOOKUP($B9,'Paste Here'!$A:$A,'Paste Here'!C:C),0)</f>
        <v>9147.0709999999981</v>
      </c>
      <c r="E9" s="130">
        <f>IFERROR(_xlfn.XLOOKUP($B9,'Paste Here'!$A:$A,'Paste Here'!D:D),0)</f>
        <v>10503.363999999998</v>
      </c>
      <c r="F9" s="130">
        <f>IFERROR(_xlfn.XLOOKUP($B9,'Paste Here'!$A:$A,'Paste Here'!E:E),0)</f>
        <v>17607.023000000001</v>
      </c>
      <c r="G9" s="130">
        <f>IFERROR(_xlfn.XLOOKUP($B9,'Paste Here'!$A:$A,'Paste Here'!F:F),0)</f>
        <v>14166.209000000001</v>
      </c>
      <c r="H9" s="130">
        <f>IFERROR(_xlfn.XLOOKUP($B9,'Paste Here'!$A:$A,'Paste Here'!G:G),0)</f>
        <v>11396.325000000001</v>
      </c>
      <c r="I9" s="135">
        <f>IFERROR(_xlfn.XLOOKUP($B9,'Paste Here'!$A:$A,'Paste Here'!H:H),0)</f>
        <v>10696.631499999998</v>
      </c>
      <c r="J9" s="135">
        <f>IFERROR(_xlfn.XLOOKUP($B9,'Paste Here'!$A:$A,'Paste Here'!I:I),0)</f>
        <v>12591.411881412061</v>
      </c>
      <c r="K9" s="135">
        <f>IFERROR(_xlfn.XLOOKUP($B9,'Paste Here'!$A:$A,'Paste Here'!J:J),0)</f>
        <v>9816.422723261705</v>
      </c>
      <c r="L9" s="135">
        <f>IFERROR(_xlfn.XLOOKUP($B9,'Paste Here'!$A:$A,'Paste Here'!K:K),0)</f>
        <v>11558.830982508942</v>
      </c>
      <c r="M9" s="135">
        <f>IFERROR(_xlfn.XLOOKUP($B9,'Paste Here'!$A:$A,'Paste Here'!L:L),0)</f>
        <v>12722.086804289949</v>
      </c>
      <c r="N9" s="135">
        <f>IFERROR(_xlfn.XLOOKUP($B9,'Paste Here'!$A:$A,'Paste Here'!M:M),0)</f>
        <v>12452.173212222573</v>
      </c>
      <c r="O9" s="135">
        <f>IFERROR(_xlfn.XLOOKUP($B9,'Paste Here'!$A:$A,'Paste Here'!N:N),0)</f>
        <v>10719.757460599054</v>
      </c>
      <c r="P9" s="135">
        <f>IFERROR(_xlfn.XLOOKUP($B9,'Paste Here'!$A:$A,'Paste Here'!O:O),0)</f>
        <v>13246.090074756803</v>
      </c>
      <c r="Q9" s="135">
        <f>IFERROR(_xlfn.XLOOKUP($B9,'Paste Here'!$A:$A,'Paste Here'!P:P),0)</f>
        <v>11270.433384224656</v>
      </c>
      <c r="R9" s="135">
        <f>IFERROR(_xlfn.XLOOKUP($B9,'Paste Here'!$A:$A,'Paste Here'!Q:Q),0)</f>
        <v>13347.992601662299</v>
      </c>
      <c r="S9" s="135">
        <f>IFERROR(_xlfn.XLOOKUP($B9,'Paste Here'!$A:$A,'Paste Here'!R:R),0)</f>
        <v>9557.7071572705609</v>
      </c>
      <c r="T9" s="135">
        <f>IFERROR(_xlfn.XLOOKUP($B9,'Paste Here'!$A:$A,'Paste Here'!S:S),0)</f>
        <v>9005.6084723712429</v>
      </c>
      <c r="U9" s="135">
        <f>IFERROR(_xlfn.XLOOKUP($B9,'Paste Here'!$A:$A,'Paste Here'!T:T),0)</f>
        <v>10459.950423392678</v>
      </c>
      <c r="V9" s="135">
        <f>IFERROR(_xlfn.XLOOKUP($B9,'Paste Here'!$A:$A,'Paste Here'!U:U),0)</f>
        <v>12415.626405312536</v>
      </c>
      <c r="W9" s="135">
        <f>IFERROR(_xlfn.XLOOKUP($B9,'Paste Here'!$A:$A,'Paste Here'!V:V),0)</f>
        <v>12021.141149145486</v>
      </c>
      <c r="X9" s="135">
        <f>IFERROR(_xlfn.XLOOKUP($B9,'Paste Here'!$A:$A,'Paste Here'!W:W),0)</f>
        <v>12413.763077752263</v>
      </c>
      <c r="Y9" s="135">
        <f>IFERROR(_xlfn.XLOOKUP($B9,'Paste Here'!$A:$A,'Paste Here'!X:X),0)</f>
        <v>12822.596300086117</v>
      </c>
      <c r="Z9" s="135">
        <f>IFERROR(_xlfn.XLOOKUP($B9,'Paste Here'!$A:$A,'Paste Here'!Y:Y),0)</f>
        <v>13275.147704868352</v>
      </c>
      <c r="AA9" s="135">
        <f>IFERROR(_xlfn.XLOOKUP($B9,'Paste Here'!$A:$A,'Paste Here'!Z:Z),0)</f>
        <v>11291.12443474803</v>
      </c>
      <c r="AB9" s="135">
        <f>IFERROR(_xlfn.XLOOKUP($B9,'Paste Here'!$A:$A,'Paste Here'!AA:AA),0)</f>
        <v>10589.557039204816</v>
      </c>
      <c r="AC9" s="135">
        <f>IFERROR(_xlfn.XLOOKUP($B9,'Paste Here'!$A:$A,'Paste Here'!AB:AB),0)</f>
        <v>11731.237255467207</v>
      </c>
      <c r="AD9" s="135">
        <f>IFERROR(_xlfn.XLOOKUP($B9,'Paste Here'!$A:$A,'Paste Here'!AC:AC),0)</f>
        <v>14005.410121438706</v>
      </c>
      <c r="AE9" s="135">
        <f>IFERROR(_xlfn.XLOOKUP($B9,'Paste Here'!$A:$A,'Paste Here'!AD:AD),0)</f>
        <v>13519.746505772275</v>
      </c>
      <c r="AF9" s="135">
        <f>IFERROR(_xlfn.XLOOKUP($B9,'Paste Here'!$A:$A,'Paste Here'!AE:AE),0)</f>
        <v>12613.55309153901</v>
      </c>
      <c r="AG9" s="135">
        <f>IFERROR(_xlfn.XLOOKUP($B9,'Paste Here'!$A:$A,'Paste Here'!AF:AF),0)</f>
        <v>13414.413512573394</v>
      </c>
      <c r="AH9" s="135">
        <f>IFERROR(_xlfn.XLOOKUP($B9,'Paste Here'!$A:$A,'Paste Here'!AG:AG),0)</f>
        <v>12304.597055613463</v>
      </c>
    </row>
    <row r="10" spans="1:34" x14ac:dyDescent="0.25">
      <c r="A10" s="2" t="s">
        <v>34</v>
      </c>
      <c r="B10" s="80" t="s">
        <v>3</v>
      </c>
      <c r="C10" s="130">
        <f>IFERROR(_xlfn.XLOOKUP($B10,'Paste Here'!$A:$A,'Paste Here'!B:B),0)</f>
        <v>6489.9530000000004</v>
      </c>
      <c r="D10" s="130">
        <f>IFERROR(_xlfn.XLOOKUP($B10,'Paste Here'!$A:$A,'Paste Here'!C:C),0)</f>
        <v>8016.13</v>
      </c>
      <c r="E10" s="130">
        <f>IFERROR(_xlfn.XLOOKUP($B10,'Paste Here'!$A:$A,'Paste Here'!D:D),0)</f>
        <v>8413.51</v>
      </c>
      <c r="F10" s="130">
        <f>IFERROR(_xlfn.XLOOKUP($B10,'Paste Here'!$A:$A,'Paste Here'!E:E),0)</f>
        <v>7785.01</v>
      </c>
      <c r="G10" s="130">
        <f>IFERROR(_xlfn.XLOOKUP($B10,'Paste Here'!$A:$A,'Paste Here'!F:F),0)</f>
        <v>8503.8339999999989</v>
      </c>
      <c r="H10" s="130">
        <f>IFERROR(_xlfn.XLOOKUP($B10,'Paste Here'!$A:$A,'Paste Here'!G:G),0)</f>
        <v>7333.4699999999993</v>
      </c>
      <c r="I10" s="164">
        <f>IFERROR(_xlfn.XLOOKUP($B10,'Paste Here'!$A:$A,'Paste Here'!H:H),0)</f>
        <v>11180.796999999999</v>
      </c>
      <c r="J10" s="164">
        <f>IFERROR(_xlfn.XLOOKUP($B10,'Paste Here'!$A:$A,'Paste Here'!I:I),0)</f>
        <v>8371.8130000000001</v>
      </c>
      <c r="K10" s="164">
        <f>IFERROR(_xlfn.XLOOKUP($B10,'Paste Here'!$A:$A,'Paste Here'!J:J),0)</f>
        <v>10117.606000000002</v>
      </c>
      <c r="L10" s="164">
        <f>IFERROR(_xlfn.XLOOKUP($B10,'Paste Here'!$A:$A,'Paste Here'!K:K),0)</f>
        <v>8669.8359999999993</v>
      </c>
      <c r="M10" s="164">
        <f>IFERROR(_xlfn.XLOOKUP($B10,'Paste Here'!$A:$A,'Paste Here'!L:L),0)</f>
        <v>8260.0560000000005</v>
      </c>
      <c r="N10" s="164">
        <f>IFERROR(_xlfn.XLOOKUP($B10,'Paste Here'!$A:$A,'Paste Here'!M:M),0)</f>
        <v>9513.43</v>
      </c>
      <c r="O10" s="164">
        <f>IFERROR(_xlfn.XLOOKUP($B10,'Paste Here'!$A:$A,'Paste Here'!N:N),0)</f>
        <v>10133.839999999998</v>
      </c>
      <c r="P10" s="164">
        <f>IFERROR(_xlfn.XLOOKUP($B10,'Paste Here'!$A:$A,'Paste Here'!O:O),0)</f>
        <v>9543.5000000000018</v>
      </c>
      <c r="Q10" s="164">
        <f>IFERROR(_xlfn.XLOOKUP($B10,'Paste Here'!$A:$A,'Paste Here'!P:P),0)</f>
        <v>9795</v>
      </c>
      <c r="R10" s="164">
        <f>IFERROR(_xlfn.XLOOKUP($B10,'Paste Here'!$A:$A,'Paste Here'!Q:Q),0)</f>
        <v>9766.619999999999</v>
      </c>
      <c r="S10" s="164">
        <f>IFERROR(_xlfn.XLOOKUP($B10,'Paste Here'!$A:$A,'Paste Here'!R:R),0)</f>
        <v>9361.33</v>
      </c>
      <c r="T10" s="164">
        <f>IFERROR(_xlfn.XLOOKUP($B10,'Paste Here'!$A:$A,'Paste Here'!S:S),0)</f>
        <v>9499.2000000000007</v>
      </c>
      <c r="U10" s="164">
        <f>IFERROR(_xlfn.XLOOKUP($B10,'Paste Here'!$A:$A,'Paste Here'!T:T),0)</f>
        <v>9012.2999999999975</v>
      </c>
      <c r="V10" s="164">
        <f>IFERROR(_xlfn.XLOOKUP($B10,'Paste Here'!$A:$A,'Paste Here'!U:U),0)</f>
        <v>7789.93</v>
      </c>
      <c r="W10" s="164">
        <f>IFERROR(_xlfn.XLOOKUP($B10,'Paste Here'!$A:$A,'Paste Here'!V:V),0)</f>
        <v>7887.95</v>
      </c>
      <c r="X10" s="164">
        <f>IFERROR(_xlfn.XLOOKUP($B10,'Paste Here'!$A:$A,'Paste Here'!W:W),0)</f>
        <v>9269.7100000000009</v>
      </c>
      <c r="Y10" s="164">
        <f>IFERROR(_xlfn.XLOOKUP($B10,'Paste Here'!$A:$A,'Paste Here'!X:X),0)</f>
        <v>9218.4399999999987</v>
      </c>
      <c r="Z10" s="164">
        <f>IFERROR(_xlfn.XLOOKUP($B10,'Paste Here'!$A:$A,'Paste Here'!Y:Y),0)</f>
        <v>9113.91</v>
      </c>
      <c r="AA10" s="164">
        <f>IFERROR(_xlfn.XLOOKUP($B10,'Paste Here'!$A:$A,'Paste Here'!Z:Z),0)</f>
        <v>5638.4599999999991</v>
      </c>
      <c r="AB10" s="164">
        <f>IFERROR(_xlfn.XLOOKUP($B10,'Paste Here'!$A:$A,'Paste Here'!AA:AA),0)</f>
        <v>6800.3499999999995</v>
      </c>
      <c r="AC10" s="164">
        <f>IFERROR(_xlfn.XLOOKUP($B10,'Paste Here'!$A:$A,'Paste Here'!AB:AB),0)</f>
        <v>8111.1399999999985</v>
      </c>
      <c r="AD10" s="164">
        <f>IFERROR(_xlfn.XLOOKUP($B10,'Paste Here'!$A:$A,'Paste Here'!AC:AC),0)</f>
        <v>8464.4600000000009</v>
      </c>
      <c r="AE10" s="164">
        <f>IFERROR(_xlfn.XLOOKUP($B10,'Paste Here'!$A:$A,'Paste Here'!AD:AD),0)</f>
        <v>8640.17</v>
      </c>
      <c r="AF10" s="164">
        <f>IFERROR(_xlfn.XLOOKUP($B10,'Paste Here'!$A:$A,'Paste Here'!AE:AE),0)</f>
        <v>8750.5199999999986</v>
      </c>
      <c r="AG10" s="164">
        <f>IFERROR(_xlfn.XLOOKUP($B10,'Paste Here'!$A:$A,'Paste Here'!AF:AF),0)</f>
        <v>9396.1299999999992</v>
      </c>
      <c r="AH10" s="164">
        <f>IFERROR(_xlfn.XLOOKUP($B10,'Paste Here'!$A:$A,'Paste Here'!AG:AG),0)</f>
        <v>8209.9900000000016</v>
      </c>
    </row>
    <row r="11" spans="1:34" x14ac:dyDescent="0.25">
      <c r="B11" s="82" t="s">
        <v>4</v>
      </c>
      <c r="C11" s="154">
        <f>IFERROR(_xlfn.XLOOKUP($B11,'Paste Here'!$A:$A,'Paste Here'!B:B),0)</f>
        <v>19129.411</v>
      </c>
      <c r="D11" s="154">
        <f>IFERROR(_xlfn.XLOOKUP($B11,'Paste Here'!$A:$A,'Paste Here'!C:C),0)</f>
        <v>19785.200999999997</v>
      </c>
      <c r="E11" s="154">
        <f>IFERROR(_xlfn.XLOOKUP($B11,'Paste Here'!$A:$A,'Paste Here'!D:D),0)</f>
        <v>18688.874</v>
      </c>
      <c r="F11" s="154">
        <f>IFERROR(_xlfn.XLOOKUP($B11,'Paste Here'!$A:$A,'Paste Here'!E:E),0)</f>
        <v>17811.032999999999</v>
      </c>
      <c r="G11" s="154">
        <f>IFERROR(_xlfn.XLOOKUP($B11,'Paste Here'!$A:$A,'Paste Here'!F:F),0)</f>
        <v>19079.042999999998</v>
      </c>
      <c r="H11" s="154">
        <f>IFERROR(_xlfn.XLOOKUP($B11,'Paste Here'!$A:$A,'Paste Here'!G:G),0)</f>
        <v>17703.794999999998</v>
      </c>
      <c r="I11" s="155">
        <f>IFERROR(_xlfn.XLOOKUP($B11,'Paste Here'!$A:$A,'Paste Here'!H:H),0)</f>
        <v>25858.468283450002</v>
      </c>
      <c r="J11" s="155">
        <f>IFERROR(_xlfn.XLOOKUP($B11,'Paste Here'!$A:$A,'Paste Here'!I:I),0)</f>
        <v>23720.870724238786</v>
      </c>
      <c r="K11" s="155">
        <f>IFERROR(_xlfn.XLOOKUP($B11,'Paste Here'!$A:$A,'Paste Here'!J:J),0)</f>
        <v>24470.720115378626</v>
      </c>
      <c r="L11" s="155">
        <f>IFERROR(_xlfn.XLOOKUP($B11,'Paste Here'!$A:$A,'Paste Here'!K:K),0)</f>
        <v>23648.30043962245</v>
      </c>
      <c r="M11" s="155">
        <f>IFERROR(_xlfn.XLOOKUP($B11,'Paste Here'!$A:$A,'Paste Here'!L:L),0)</f>
        <v>23656.012954059664</v>
      </c>
      <c r="N11" s="155">
        <f>IFERROR(_xlfn.XLOOKUP($B11,'Paste Here'!$A:$A,'Paste Here'!M:M),0)</f>
        <v>24812.514965866685</v>
      </c>
      <c r="O11" s="155">
        <f>IFERROR(_xlfn.XLOOKUP($B11,'Paste Here'!$A:$A,'Paste Here'!N:N),0)</f>
        <v>23323.80508167806</v>
      </c>
      <c r="P11" s="155">
        <f>IFERROR(_xlfn.XLOOKUP($B11,'Paste Here'!$A:$A,'Paste Here'!O:O),0)</f>
        <v>22789.590074756808</v>
      </c>
      <c r="Q11" s="155">
        <f>IFERROR(_xlfn.XLOOKUP($B11,'Paste Here'!$A:$A,'Paste Here'!P:P),0)</f>
        <v>21065.433384224656</v>
      </c>
      <c r="R11" s="155">
        <f>IFERROR(_xlfn.XLOOKUP($B11,'Paste Here'!$A:$A,'Paste Here'!Q:Q),0)</f>
        <v>23114.612601662295</v>
      </c>
      <c r="S11" s="155">
        <f>IFERROR(_xlfn.XLOOKUP($B11,'Paste Here'!$A:$A,'Paste Here'!R:R),0)</f>
        <v>18919.037157270563</v>
      </c>
      <c r="T11" s="155">
        <f>IFERROR(_xlfn.XLOOKUP($B11,'Paste Here'!$A:$A,'Paste Here'!S:S),0)</f>
        <v>18504.808472371242</v>
      </c>
      <c r="U11" s="155">
        <f>IFERROR(_xlfn.XLOOKUP($B11,'Paste Here'!$A:$A,'Paste Here'!T:T),0)</f>
        <v>19472.250423392674</v>
      </c>
      <c r="V11" s="155">
        <f>IFERROR(_xlfn.XLOOKUP($B11,'Paste Here'!$A:$A,'Paste Here'!U:U),0)</f>
        <v>20205.556405312538</v>
      </c>
      <c r="W11" s="155">
        <f>IFERROR(_xlfn.XLOOKUP($B11,'Paste Here'!$A:$A,'Paste Here'!V:V),0)</f>
        <v>19909.091149145486</v>
      </c>
      <c r="X11" s="155">
        <f>IFERROR(_xlfn.XLOOKUP($B11,'Paste Here'!$A:$A,'Paste Here'!W:W),0)</f>
        <v>21683.47307775226</v>
      </c>
      <c r="Y11" s="155">
        <f>IFERROR(_xlfn.XLOOKUP($B11,'Paste Here'!$A:$A,'Paste Here'!X:X),0)</f>
        <v>22041.036300086122</v>
      </c>
      <c r="Z11" s="155">
        <f>IFERROR(_xlfn.XLOOKUP($B11,'Paste Here'!$A:$A,'Paste Here'!Y:Y),0)</f>
        <v>22389.057704868352</v>
      </c>
      <c r="AA11" s="155">
        <f>IFERROR(_xlfn.XLOOKUP($B11,'Paste Here'!$A:$A,'Paste Here'!Z:Z),0)</f>
        <v>16929.584434748027</v>
      </c>
      <c r="AB11" s="155">
        <f>IFERROR(_xlfn.XLOOKUP($B11,'Paste Here'!$A:$A,'Paste Here'!AA:AA),0)</f>
        <v>17389.907039204816</v>
      </c>
      <c r="AC11" s="155">
        <f>IFERROR(_xlfn.XLOOKUP($B11,'Paste Here'!$A:$A,'Paste Here'!AB:AB),0)</f>
        <v>19842.377255467207</v>
      </c>
      <c r="AD11" s="155">
        <f>IFERROR(_xlfn.XLOOKUP($B11,'Paste Here'!$A:$A,'Paste Here'!AC:AC),0)</f>
        <v>22469.870121438704</v>
      </c>
      <c r="AE11" s="155">
        <f>IFERROR(_xlfn.XLOOKUP($B11,'Paste Here'!$A:$A,'Paste Here'!AD:AD),0)</f>
        <v>22159.916505772275</v>
      </c>
      <c r="AF11" s="155">
        <f>IFERROR(_xlfn.XLOOKUP($B11,'Paste Here'!$A:$A,'Paste Here'!AE:AE),0)</f>
        <v>21364.073091539016</v>
      </c>
      <c r="AG11" s="155">
        <f>IFERROR(_xlfn.XLOOKUP($B11,'Paste Here'!$A:$A,'Paste Here'!AF:AF),0)</f>
        <v>22810.543512573393</v>
      </c>
      <c r="AH11" s="155">
        <f>IFERROR(_xlfn.XLOOKUP($B11,'Paste Here'!$A:$A,'Paste Here'!AG:AG),0)</f>
        <v>20514.587055613465</v>
      </c>
    </row>
    <row r="12" spans="1:34" s="78" customFormat="1" x14ac:dyDescent="0.25">
      <c r="A12" s="3" t="s">
        <v>36</v>
      </c>
      <c r="B12" s="81" t="s">
        <v>5</v>
      </c>
      <c r="C12" s="154">
        <f>IFERROR(_xlfn.XLOOKUP($B12,'Paste Here'!$A:$A,'Paste Here'!B:B),0)</f>
        <v>24145.411</v>
      </c>
      <c r="D12" s="154">
        <f>IFERROR(_xlfn.XLOOKUP($B12,'Paste Here'!$A:$A,'Paste Here'!C:C),0)</f>
        <v>17163.200999999997</v>
      </c>
      <c r="E12" s="154">
        <f>IFERROR(_xlfn.XLOOKUP($B12,'Paste Here'!$A:$A,'Paste Here'!D:D),0)</f>
        <v>18916.874000000003</v>
      </c>
      <c r="F12" s="154">
        <f>IFERROR(_xlfn.XLOOKUP($B12,'Paste Here'!$A:$A,'Paste Here'!E:E),0)</f>
        <v>25392.033000000003</v>
      </c>
      <c r="G12" s="154">
        <f>IFERROR(_xlfn.XLOOKUP($B12,'Paste Here'!$A:$A,'Paste Here'!F:F),0)</f>
        <v>22670.043000000001</v>
      </c>
      <c r="H12" s="154">
        <f>IFERROR(_xlfn.XLOOKUP($B12,'Paste Here'!$A:$A,'Paste Here'!G:G),0)</f>
        <v>18729.794999999998</v>
      </c>
      <c r="I12" s="165">
        <f>IFERROR(_xlfn.XLOOKUP($B12,'Paste Here'!$A:$A,'Paste Here'!H:H),0)</f>
        <v>21877.428499999998</v>
      </c>
      <c r="J12" s="165">
        <f>IFERROR(_xlfn.XLOOKUP($B12,'Paste Here'!$A:$A,'Paste Here'!I:I),0)</f>
        <v>20963.224881412061</v>
      </c>
      <c r="K12" s="165">
        <f>IFERROR(_xlfn.XLOOKUP($B12,'Paste Here'!$A:$A,'Paste Here'!J:J),0)</f>
        <v>19934.028723261705</v>
      </c>
      <c r="L12" s="165">
        <f>IFERROR(_xlfn.XLOOKUP($B12,'Paste Here'!$A:$A,'Paste Here'!K:K),0)</f>
        <v>20228.666982508938</v>
      </c>
      <c r="M12" s="165">
        <f>IFERROR(_xlfn.XLOOKUP($B12,'Paste Here'!$A:$A,'Paste Here'!L:L),0)</f>
        <v>20982.14280428995</v>
      </c>
      <c r="N12" s="165">
        <f>IFERROR(_xlfn.XLOOKUP($B12,'Paste Here'!$A:$A,'Paste Here'!M:M),0)</f>
        <v>21965.603212222577</v>
      </c>
      <c r="O12" s="165">
        <f>IFERROR(_xlfn.XLOOKUP($B12,'Paste Here'!$A:$A,'Paste Here'!N:N),0)</f>
        <v>20853.597460599056</v>
      </c>
      <c r="P12" s="165">
        <f>IFERROR(_xlfn.XLOOKUP($B12,'Paste Here'!$A:$A,'Paste Here'!O:O),0)</f>
        <v>22789.590074756805</v>
      </c>
      <c r="Q12" s="165">
        <f>IFERROR(_xlfn.XLOOKUP($B12,'Paste Here'!$A:$A,'Paste Here'!P:P),0)</f>
        <v>21065.433384224656</v>
      </c>
      <c r="R12" s="165">
        <f>IFERROR(_xlfn.XLOOKUP($B12,'Paste Here'!$A:$A,'Paste Here'!Q:Q),0)</f>
        <v>23114.612601662298</v>
      </c>
      <c r="S12" s="165">
        <f>IFERROR(_xlfn.XLOOKUP($B12,'Paste Here'!$A:$A,'Paste Here'!R:R),0)</f>
        <v>18919.037157270563</v>
      </c>
      <c r="T12" s="165">
        <f>IFERROR(_xlfn.XLOOKUP($B12,'Paste Here'!$A:$A,'Paste Here'!S:S),0)</f>
        <v>18504.808472371242</v>
      </c>
      <c r="U12" s="165">
        <f>IFERROR(_xlfn.XLOOKUP($B12,'Paste Here'!$A:$A,'Paste Here'!T:T),0)</f>
        <v>19472.250423392674</v>
      </c>
      <c r="V12" s="165">
        <f>IFERROR(_xlfn.XLOOKUP($B12,'Paste Here'!$A:$A,'Paste Here'!U:U),0)</f>
        <v>20205.556405312538</v>
      </c>
      <c r="W12" s="165">
        <f>IFERROR(_xlfn.XLOOKUP($B12,'Paste Here'!$A:$A,'Paste Here'!V:V),0)</f>
        <v>19909.091149145486</v>
      </c>
      <c r="X12" s="165">
        <f>IFERROR(_xlfn.XLOOKUP($B12,'Paste Here'!$A:$A,'Paste Here'!W:W),0)</f>
        <v>21683.47307775226</v>
      </c>
      <c r="Y12" s="165">
        <f>IFERROR(_xlfn.XLOOKUP($B12,'Paste Here'!$A:$A,'Paste Here'!X:X),0)</f>
        <v>22041.036300086122</v>
      </c>
      <c r="Z12" s="165">
        <f>IFERROR(_xlfn.XLOOKUP($B12,'Paste Here'!$A:$A,'Paste Here'!Y:Y),0)</f>
        <v>22389.057704868352</v>
      </c>
      <c r="AA12" s="165">
        <f>IFERROR(_xlfn.XLOOKUP($B12,'Paste Here'!$A:$A,'Paste Here'!Z:Z),0)</f>
        <v>16929.584434748031</v>
      </c>
      <c r="AB12" s="165">
        <f>IFERROR(_xlfn.XLOOKUP($B12,'Paste Here'!$A:$A,'Paste Here'!AA:AA),0)</f>
        <v>17389.907039204816</v>
      </c>
      <c r="AC12" s="165">
        <f>IFERROR(_xlfn.XLOOKUP($B12,'Paste Here'!$A:$A,'Paste Here'!AB:AB),0)</f>
        <v>19842.377255467203</v>
      </c>
      <c r="AD12" s="165">
        <f>IFERROR(_xlfn.XLOOKUP($B12,'Paste Here'!$A:$A,'Paste Here'!AC:AC),0)</f>
        <v>22469.870121438704</v>
      </c>
      <c r="AE12" s="165">
        <f>IFERROR(_xlfn.XLOOKUP($B12,'Paste Here'!$A:$A,'Paste Here'!AD:AD),0)</f>
        <v>22159.916505772271</v>
      </c>
      <c r="AF12" s="165">
        <f>IFERROR(_xlfn.XLOOKUP($B12,'Paste Here'!$A:$A,'Paste Here'!AE:AE),0)</f>
        <v>21364.073091539012</v>
      </c>
      <c r="AG12" s="165">
        <f>IFERROR(_xlfn.XLOOKUP($B12,'Paste Here'!$A:$A,'Paste Here'!AF:AF),0)</f>
        <v>22810.543512573393</v>
      </c>
      <c r="AH12" s="165">
        <f>IFERROR(_xlfn.XLOOKUP($B12,'Paste Here'!$A:$A,'Paste Here'!AG:AG),0)</f>
        <v>20514.587055613465</v>
      </c>
    </row>
    <row r="13" spans="1:34" x14ac:dyDescent="0.25">
      <c r="A13" s="7"/>
      <c r="B13" t="s">
        <v>63</v>
      </c>
      <c r="C13" s="136">
        <f>IFERROR(_xlfn.XLOOKUP($B13,'Paste Here'!$A:$A,'Paste Here'!B:B),0)</f>
        <v>4918.0049999999992</v>
      </c>
      <c r="D13" s="136">
        <f>IFERROR(_xlfn.XLOOKUP($B13,'Paste Here'!$A:$A,'Paste Here'!C:C),0)</f>
        <v>4182.2859999999991</v>
      </c>
      <c r="E13" s="136">
        <f>IFERROR(_xlfn.XLOOKUP($B13,'Paste Here'!$A:$A,'Paste Here'!D:D),0)</f>
        <v>4576.3840000000009</v>
      </c>
      <c r="F13" s="136">
        <f>IFERROR(_xlfn.XLOOKUP($B13,'Paste Here'!$A:$A,'Paste Here'!E:E),0)</f>
        <v>4214.8849999999993</v>
      </c>
      <c r="G13" s="136">
        <f>IFERROR(_xlfn.XLOOKUP($B13,'Paste Here'!$A:$A,'Paste Here'!F:F),0)</f>
        <v>4870.5720000000001</v>
      </c>
      <c r="H13" s="136">
        <f>IFERROR(_xlfn.XLOOKUP($B13,'Paste Here'!$A:$A,'Paste Here'!G:G),0)</f>
        <v>4541.3829999999998</v>
      </c>
      <c r="I13" s="137">
        <f>IFERROR(_xlfn.XLOOKUP($B13,'Paste Here'!$A:$A,'Paste Here'!H:H),0)</f>
        <v>3837.12928345</v>
      </c>
      <c r="J13" s="137">
        <f>IFERROR(_xlfn.XLOOKUP($B13,'Paste Here'!$A:$A,'Paste Here'!I:I),0)</f>
        <v>4519.0577242387881</v>
      </c>
      <c r="K13" s="137">
        <f>IFERROR(_xlfn.XLOOKUP($B13,'Paste Here'!$A:$A,'Paste Here'!J:J),0)</f>
        <v>3523.1141153786266</v>
      </c>
      <c r="L13" s="137">
        <f>IFERROR(_xlfn.XLOOKUP($B13,'Paste Here'!$A:$A,'Paste Here'!K:K),0)</f>
        <v>4148.4644396224594</v>
      </c>
      <c r="M13" s="137">
        <f>IFERROR(_xlfn.XLOOKUP($B13,'Paste Here'!$A:$A,'Paste Here'!L:L),0)</f>
        <v>4565.9569540596622</v>
      </c>
      <c r="N13" s="137">
        <f>IFERROR(_xlfn.XLOOKUP($B13,'Paste Here'!$A:$A,'Paste Here'!M:M),0)</f>
        <v>4469.0849658666821</v>
      </c>
      <c r="O13" s="137">
        <f>IFERROR(_xlfn.XLOOKUP($B13,'Paste Here'!$A:$A,'Paste Here'!N:N),0)</f>
        <v>3847.3209526090004</v>
      </c>
      <c r="P13" s="137">
        <f>IFERROR(_xlfn.XLOOKUP($B13,'Paste Here'!$A:$A,'Paste Here'!O:O),0)</f>
        <v>4754.0217278302171</v>
      </c>
      <c r="Q13" s="137">
        <f>IFERROR(_xlfn.XLOOKUP($B13,'Paste Here'!$A:$A,'Paste Here'!P:P),0)</f>
        <v>4044.9585415982283</v>
      </c>
      <c r="R13" s="137">
        <f>IFERROR(_xlfn.XLOOKUP($B13,'Paste Here'!$A:$A,'Paste Here'!Q:Q),0)</f>
        <v>4790.5945447365984</v>
      </c>
      <c r="S13" s="137">
        <f>IFERROR(_xlfn.XLOOKUP($B13,'Paste Here'!$A:$A,'Paste Here'!R:R),0)</f>
        <v>3430.2610987444036</v>
      </c>
      <c r="T13" s="137">
        <f>IFERROR(_xlfn.XLOOKUP($B13,'Paste Here'!$A:$A,'Paste Here'!S:S),0)</f>
        <v>3232.1128807340392</v>
      </c>
      <c r="U13" s="137">
        <f>IFERROR(_xlfn.XLOOKUP($B13,'Paste Here'!$A:$A,'Paste Here'!T:T),0)</f>
        <v>3754.0762069556322</v>
      </c>
      <c r="V13" s="137">
        <f>IFERROR(_xlfn.XLOOKUP($B13,'Paste Here'!$A:$A,'Paste Here'!U:U),0)</f>
        <v>4455.9683168666688</v>
      </c>
      <c r="W13" s="137">
        <f>IFERROR(_xlfn.XLOOKUP($B13,'Paste Here'!$A:$A,'Paste Here'!V:V),0)</f>
        <v>4314.3875584283142</v>
      </c>
      <c r="X13" s="137">
        <f>IFERROR(_xlfn.XLOOKUP($B13,'Paste Here'!$A:$A,'Paste Here'!W:W),0)</f>
        <v>4455.2995686052873</v>
      </c>
      <c r="Y13" s="137">
        <f>IFERROR(_xlfn.XLOOKUP($B13,'Paste Here'!$A:$A,'Paste Here'!X:X),0)</f>
        <v>4602.0298121009073</v>
      </c>
      <c r="Z13" s="137">
        <f>IFERROR(_xlfn.XLOOKUP($B13,'Paste Here'!$A:$A,'Paste Here'!Y:Y),0)</f>
        <v>4764.4505112772522</v>
      </c>
      <c r="AA13" s="137">
        <f>IFERROR(_xlfn.XLOOKUP($B13,'Paste Here'!$A:$A,'Paste Here'!Z:Z),0)</f>
        <v>4052.384559631068</v>
      </c>
      <c r="AB13" s="137">
        <f>IFERROR(_xlfn.XLOOKUP($B13,'Paste Here'!$A:$A,'Paste Here'!AA:AA),0)</f>
        <v>3800.5920213706081</v>
      </c>
      <c r="AC13" s="137">
        <f>IFERROR(_xlfn.XLOOKUP($B13,'Paste Here'!$A:$A,'Paste Here'!AB:AB),0)</f>
        <v>4210.341050987181</v>
      </c>
      <c r="AD13" s="137">
        <f>IFERROR(_xlfn.XLOOKUP($B13,'Paste Here'!$A:$A,'Paste Here'!AC:AC),0)</f>
        <v>5026.5416925843519</v>
      </c>
      <c r="AE13" s="137">
        <f>IFERROR(_xlfn.XLOOKUP($B13,'Paste Here'!$A:$A,'Paste Here'!AD:AD),0)</f>
        <v>4852.2370209216697</v>
      </c>
      <c r="AF13" s="137">
        <f>IFERROR(_xlfn.XLOOKUP($B13,'Paste Here'!$A:$A,'Paste Here'!AE:AE),0)</f>
        <v>4527.0042045533501</v>
      </c>
      <c r="AG13" s="137">
        <f>IFERROR(_xlfn.XLOOKUP($B13,'Paste Here'!$A:$A,'Paste Here'!AF:AF),0)</f>
        <v>4814.4330096625908</v>
      </c>
      <c r="AH13" s="137">
        <f>IFERROR(_xlfn.XLOOKUP($B13,'Paste Here'!$A:$A,'Paste Here'!AG:AG),0)</f>
        <v>4416.119883259672</v>
      </c>
    </row>
    <row r="14" spans="1:34" x14ac:dyDescent="0.25">
      <c r="A14" s="4" t="s">
        <v>37</v>
      </c>
      <c r="B14" t="s">
        <v>64</v>
      </c>
      <c r="C14" s="136">
        <f>IFERROR(_xlfn.XLOOKUP($B14,'Paste Here'!$A:$A,'Paste Here'!B:B),0)</f>
        <v>6489.9530000000004</v>
      </c>
      <c r="D14" s="136">
        <f>IFERROR(_xlfn.XLOOKUP($B14,'Paste Here'!$A:$A,'Paste Here'!C:C),0)</f>
        <v>8016.13</v>
      </c>
      <c r="E14" s="136">
        <f>IFERROR(_xlfn.XLOOKUP($B14,'Paste Here'!$A:$A,'Paste Here'!D:D),0)</f>
        <v>8413.51</v>
      </c>
      <c r="F14" s="136">
        <f>IFERROR(_xlfn.XLOOKUP($B14,'Paste Here'!$A:$A,'Paste Here'!E:E),0)</f>
        <v>7785.01</v>
      </c>
      <c r="G14" s="136">
        <f>IFERROR(_xlfn.XLOOKUP($B14,'Paste Here'!$A:$A,'Paste Here'!F:F),0)</f>
        <v>8503.8339999999989</v>
      </c>
      <c r="H14" s="136">
        <f>IFERROR(_xlfn.XLOOKUP($B14,'Paste Here'!$A:$A,'Paste Here'!G:G),0)</f>
        <v>7333.4699999999993</v>
      </c>
      <c r="I14" s="137">
        <f>IFERROR(_xlfn.XLOOKUP($B14,'Paste Here'!$A:$A,'Paste Here'!H:H),0)</f>
        <v>11180.796999999999</v>
      </c>
      <c r="J14" s="137">
        <f>IFERROR(_xlfn.XLOOKUP($B14,'Paste Here'!$A:$A,'Paste Here'!I:I),0)</f>
        <v>8371.8130000000001</v>
      </c>
      <c r="K14" s="137">
        <f>IFERROR(_xlfn.XLOOKUP($B14,'Paste Here'!$A:$A,'Paste Here'!J:J),0)</f>
        <v>10117.606000000002</v>
      </c>
      <c r="L14" s="137">
        <f>IFERROR(_xlfn.XLOOKUP($B14,'Paste Here'!$A:$A,'Paste Here'!K:K),0)</f>
        <v>8669.8359999999993</v>
      </c>
      <c r="M14" s="137">
        <f>IFERROR(_xlfn.XLOOKUP($B14,'Paste Here'!$A:$A,'Paste Here'!L:L),0)</f>
        <v>8260.0560000000005</v>
      </c>
      <c r="N14" s="137">
        <f>IFERROR(_xlfn.XLOOKUP($B14,'Paste Here'!$A:$A,'Paste Here'!M:M),0)</f>
        <v>9513.43</v>
      </c>
      <c r="O14" s="137">
        <f>IFERROR(_xlfn.XLOOKUP($B14,'Paste Here'!$A:$A,'Paste Here'!N:N),0)</f>
        <v>10133.839999999998</v>
      </c>
      <c r="P14" s="137">
        <f>IFERROR(_xlfn.XLOOKUP($B14,'Paste Here'!$A:$A,'Paste Here'!O:O),0)</f>
        <v>9543.5000000000018</v>
      </c>
      <c r="Q14" s="137">
        <f>IFERROR(_xlfn.XLOOKUP($B14,'Paste Here'!$A:$A,'Paste Here'!P:P),0)</f>
        <v>9795</v>
      </c>
      <c r="R14" s="137">
        <f>IFERROR(_xlfn.XLOOKUP($B14,'Paste Here'!$A:$A,'Paste Here'!Q:Q),0)</f>
        <v>9766.619999999999</v>
      </c>
      <c r="S14" s="137">
        <f>IFERROR(_xlfn.XLOOKUP($B14,'Paste Here'!$A:$A,'Paste Here'!R:R),0)</f>
        <v>9361.33</v>
      </c>
      <c r="T14" s="137">
        <f>IFERROR(_xlfn.XLOOKUP($B14,'Paste Here'!$A:$A,'Paste Here'!S:S),0)</f>
        <v>9499.2000000000007</v>
      </c>
      <c r="U14" s="137">
        <f>IFERROR(_xlfn.XLOOKUP($B14,'Paste Here'!$A:$A,'Paste Here'!T:T),0)</f>
        <v>9012.2999999999975</v>
      </c>
      <c r="V14" s="137">
        <f>IFERROR(_xlfn.XLOOKUP($B14,'Paste Here'!$A:$A,'Paste Here'!U:U),0)</f>
        <v>7789.93</v>
      </c>
      <c r="W14" s="137">
        <f>IFERROR(_xlfn.XLOOKUP($B14,'Paste Here'!$A:$A,'Paste Here'!V:V),0)</f>
        <v>7887.95</v>
      </c>
      <c r="X14" s="137">
        <f>IFERROR(_xlfn.XLOOKUP($B14,'Paste Here'!$A:$A,'Paste Here'!W:W),0)</f>
        <v>9269.7100000000009</v>
      </c>
      <c r="Y14" s="137">
        <f>IFERROR(_xlfn.XLOOKUP($B14,'Paste Here'!$A:$A,'Paste Here'!X:X),0)</f>
        <v>9218.4399999999987</v>
      </c>
      <c r="Z14" s="137">
        <f>IFERROR(_xlfn.XLOOKUP($B14,'Paste Here'!$A:$A,'Paste Here'!Y:Y),0)</f>
        <v>9113.91</v>
      </c>
      <c r="AA14" s="137">
        <f>IFERROR(_xlfn.XLOOKUP($B14,'Paste Here'!$A:$A,'Paste Here'!Z:Z),0)</f>
        <v>5638.4599999999991</v>
      </c>
      <c r="AB14" s="137">
        <f>IFERROR(_xlfn.XLOOKUP($B14,'Paste Here'!$A:$A,'Paste Here'!AA:AA),0)</f>
        <v>6800.3499999999995</v>
      </c>
      <c r="AC14" s="137">
        <f>IFERROR(_xlfn.XLOOKUP($B14,'Paste Here'!$A:$A,'Paste Here'!AB:AB),0)</f>
        <v>8111.1399999999985</v>
      </c>
      <c r="AD14" s="137">
        <f>IFERROR(_xlfn.XLOOKUP($B14,'Paste Here'!$A:$A,'Paste Here'!AC:AC),0)</f>
        <v>8464.4600000000009</v>
      </c>
      <c r="AE14" s="137">
        <f>IFERROR(_xlfn.XLOOKUP($B14,'Paste Here'!$A:$A,'Paste Here'!AD:AD),0)</f>
        <v>8640.17</v>
      </c>
      <c r="AF14" s="137">
        <f>IFERROR(_xlfn.XLOOKUP($B14,'Paste Here'!$A:$A,'Paste Here'!AE:AE),0)</f>
        <v>8750.5199999999986</v>
      </c>
      <c r="AG14" s="137">
        <f>IFERROR(_xlfn.XLOOKUP($B14,'Paste Here'!$A:$A,'Paste Here'!AF:AF),0)</f>
        <v>9396.1299999999992</v>
      </c>
      <c r="AH14" s="137">
        <f>IFERROR(_xlfn.XLOOKUP($B14,'Paste Here'!$A:$A,'Paste Here'!AG:AG),0)</f>
        <v>8209.9900000000016</v>
      </c>
    </row>
    <row r="15" spans="1:34" x14ac:dyDescent="0.25">
      <c r="A15" s="4" t="s">
        <v>39</v>
      </c>
      <c r="B15" t="s">
        <v>65</v>
      </c>
      <c r="C15" s="136">
        <f>IFERROR(_xlfn.XLOOKUP($B15,'Paste Here'!$A:$A,'Paste Here'!B:B),0)</f>
        <v>12737.453</v>
      </c>
      <c r="D15" s="136">
        <f>IFERROR(_xlfn.XLOOKUP($B15,'Paste Here'!$A:$A,'Paste Here'!C:C),0)</f>
        <v>4964.7849999999999</v>
      </c>
      <c r="E15" s="136">
        <f>IFERROR(_xlfn.XLOOKUP($B15,'Paste Here'!$A:$A,'Paste Here'!D:D),0)</f>
        <v>5926.98</v>
      </c>
      <c r="F15" s="136">
        <f>IFERROR(_xlfn.XLOOKUP($B15,'Paste Here'!$A:$A,'Paste Here'!E:E),0)</f>
        <v>13392.137999999999</v>
      </c>
      <c r="G15" s="136">
        <f>IFERROR(_xlfn.XLOOKUP($B15,'Paste Here'!$A:$A,'Paste Here'!F:F),0)</f>
        <v>9295.6370000000006</v>
      </c>
      <c r="H15" s="136">
        <f>IFERROR(_xlfn.XLOOKUP($B15,'Paste Here'!$A:$A,'Paste Here'!G:G),0)</f>
        <v>6854.9419999999991</v>
      </c>
      <c r="I15" s="137">
        <f>IFERROR(_xlfn.XLOOKUP($B15,'Paste Here'!$A:$A,'Paste Here'!H:H),0)</f>
        <v>6854.2312165499998</v>
      </c>
      <c r="J15" s="137">
        <f>IFERROR(_xlfn.XLOOKUP($B15,'Paste Here'!$A:$A,'Paste Here'!I:I),0)</f>
        <v>8072.3541571732712</v>
      </c>
      <c r="K15" s="137">
        <f>IFERROR(_xlfn.XLOOKUP($B15,'Paste Here'!$A:$A,'Paste Here'!J:J),0)</f>
        <v>6293.3086078830793</v>
      </c>
      <c r="L15" s="137">
        <f>IFERROR(_xlfn.XLOOKUP($B15,'Paste Here'!$A:$A,'Paste Here'!K:K),0)</f>
        <v>7410.3665428864833</v>
      </c>
      <c r="M15" s="137">
        <f>IFERROR(_xlfn.XLOOKUP($B15,'Paste Here'!$A:$A,'Paste Here'!L:L),0)</f>
        <v>8156.129850230287</v>
      </c>
      <c r="N15" s="137">
        <f>IFERROR(_xlfn.XLOOKUP($B15,'Paste Here'!$A:$A,'Paste Here'!M:M),0)</f>
        <v>7983.0882463558928</v>
      </c>
      <c r="O15" s="137">
        <f>IFERROR(_xlfn.XLOOKUP($B15,'Paste Here'!$A:$A,'Paste Here'!N:N),0)</f>
        <v>6872.4365079900545</v>
      </c>
      <c r="P15" s="137">
        <f>IFERROR(_xlfn.XLOOKUP($B15,'Paste Here'!$A:$A,'Paste Here'!O:O),0)</f>
        <v>8492.0683469265878</v>
      </c>
      <c r="Q15" s="137">
        <f>IFERROR(_xlfn.XLOOKUP($B15,'Paste Here'!$A:$A,'Paste Here'!P:P),0)</f>
        <v>7225.4748426264268</v>
      </c>
      <c r="R15" s="137">
        <f>IFERROR(_xlfn.XLOOKUP($B15,'Paste Here'!$A:$A,'Paste Here'!Q:Q),0)</f>
        <v>8557.3980569257001</v>
      </c>
      <c r="S15" s="137">
        <f>IFERROR(_xlfn.XLOOKUP($B15,'Paste Here'!$A:$A,'Paste Here'!R:R),0)</f>
        <v>6127.4460585261559</v>
      </c>
      <c r="T15" s="137">
        <f>IFERROR(_xlfn.XLOOKUP($B15,'Paste Here'!$A:$A,'Paste Here'!S:S),0)</f>
        <v>5773.4955916372046</v>
      </c>
      <c r="U15" s="137">
        <f>IFERROR(_xlfn.XLOOKUP($B15,'Paste Here'!$A:$A,'Paste Here'!T:T),0)</f>
        <v>6705.8742164370478</v>
      </c>
      <c r="V15" s="137">
        <f>IFERROR(_xlfn.XLOOKUP($B15,'Paste Here'!$A:$A,'Paste Here'!U:U),0)</f>
        <v>7959.6580884458654</v>
      </c>
      <c r="W15" s="137">
        <f>IFERROR(_xlfn.XLOOKUP($B15,'Paste Here'!$A:$A,'Paste Here'!V:V),0)</f>
        <v>7706.7535907171714</v>
      </c>
      <c r="X15" s="137">
        <f>IFERROR(_xlfn.XLOOKUP($B15,'Paste Here'!$A:$A,'Paste Here'!W:W),0)</f>
        <v>7958.4635091469754</v>
      </c>
      <c r="Y15" s="137">
        <f>IFERROR(_xlfn.XLOOKUP($B15,'Paste Here'!$A:$A,'Paste Here'!X:X),0)</f>
        <v>8220.5664879852102</v>
      </c>
      <c r="Z15" s="137">
        <f>IFERROR(_xlfn.XLOOKUP($B15,'Paste Here'!$A:$A,'Paste Here'!Y:Y),0)</f>
        <v>8510.6971935911006</v>
      </c>
      <c r="AA15" s="137">
        <f>IFERROR(_xlfn.XLOOKUP($B15,'Paste Here'!$A:$A,'Paste Here'!Z:Z),0)</f>
        <v>7238.7398751169621</v>
      </c>
      <c r="AB15" s="137">
        <f>IFERROR(_xlfn.XLOOKUP($B15,'Paste Here'!$A:$A,'Paste Here'!AA:AA),0)</f>
        <v>6788.9650178342072</v>
      </c>
      <c r="AC15" s="137">
        <f>IFERROR(_xlfn.XLOOKUP($B15,'Paste Here'!$A:$A,'Paste Here'!AB:AB),0)</f>
        <v>7520.8962044800282</v>
      </c>
      <c r="AD15" s="137">
        <f>IFERROR(_xlfn.XLOOKUP($B15,'Paste Here'!$A:$A,'Paste Here'!AC:AC),0)</f>
        <v>8978.8684288543554</v>
      </c>
      <c r="AE15" s="137">
        <f>IFERROR(_xlfn.XLOOKUP($B15,'Paste Here'!$A:$A,'Paste Here'!AD:AD),0)</f>
        <v>8667.5094848506069</v>
      </c>
      <c r="AF15" s="137">
        <f>IFERROR(_xlfn.XLOOKUP($B15,'Paste Here'!$A:$A,'Paste Here'!AE:AE),0)</f>
        <v>8086.5488869856572</v>
      </c>
      <c r="AG15" s="137">
        <f>IFERROR(_xlfn.XLOOKUP($B15,'Paste Here'!$A:$A,'Paste Here'!AF:AF),0)</f>
        <v>8599.9805029108029</v>
      </c>
      <c r="AH15" s="137">
        <f>IFERROR(_xlfn.XLOOKUP($B15,'Paste Here'!$A:$A,'Paste Here'!AG:AG),0)</f>
        <v>7888.4771723537924</v>
      </c>
    </row>
    <row r="16" spans="1:34" x14ac:dyDescent="0.25">
      <c r="A16" s="4" t="s">
        <v>40</v>
      </c>
      <c r="B16" t="s">
        <v>66</v>
      </c>
      <c r="C16" s="136">
        <f>IFERROR(_xlfn.XLOOKUP($B16,'Paste Here'!$A:$A,'Paste Here'!B:B),0)</f>
        <v>0</v>
      </c>
      <c r="D16" s="136">
        <f>IFERROR(_xlfn.XLOOKUP($B16,'Paste Here'!$A:$A,'Paste Here'!C:C),0)</f>
        <v>0</v>
      </c>
      <c r="E16" s="136">
        <f>IFERROR(_xlfn.XLOOKUP($B16,'Paste Here'!$A:$A,'Paste Here'!D:D),0)</f>
        <v>0</v>
      </c>
      <c r="F16" s="136">
        <f>IFERROR(_xlfn.XLOOKUP($B16,'Paste Here'!$A:$A,'Paste Here'!E:E),0)</f>
        <v>0</v>
      </c>
      <c r="G16" s="136">
        <f>IFERROR(_xlfn.XLOOKUP($B16,'Paste Here'!$A:$A,'Paste Here'!F:F),0)</f>
        <v>0</v>
      </c>
      <c r="H16" s="136">
        <f>IFERROR(_xlfn.XLOOKUP($B16,'Paste Here'!$A:$A,'Paste Here'!G:G),0)</f>
        <v>0</v>
      </c>
      <c r="I16" s="137">
        <f>IFERROR(_xlfn.XLOOKUP($B16,'Paste Here'!$A:$A,'Paste Here'!H:H),0)</f>
        <v>0</v>
      </c>
      <c r="J16" s="137">
        <f>IFERROR(_xlfn.XLOOKUP($B16,'Paste Here'!$A:$A,'Paste Here'!I:I),0)</f>
        <v>0</v>
      </c>
      <c r="K16" s="137">
        <f>IFERROR(_xlfn.XLOOKUP($B16,'Paste Here'!$A:$A,'Paste Here'!J:J),0)</f>
        <v>0</v>
      </c>
      <c r="L16" s="137">
        <f>IFERROR(_xlfn.XLOOKUP($B16,'Paste Here'!$A:$A,'Paste Here'!K:K),0)</f>
        <v>0</v>
      </c>
      <c r="M16" s="137">
        <f>IFERROR(_xlfn.XLOOKUP($B16,'Paste Here'!$A:$A,'Paste Here'!L:L),0)</f>
        <v>0</v>
      </c>
      <c r="N16" s="137">
        <f>IFERROR(_xlfn.XLOOKUP($B16,'Paste Here'!$A:$A,'Paste Here'!M:M),0)</f>
        <v>0</v>
      </c>
      <c r="O16" s="137">
        <f>IFERROR(_xlfn.XLOOKUP($B16,'Paste Here'!$A:$A,'Paste Here'!N:N),0)</f>
        <v>0</v>
      </c>
      <c r="P16" s="137">
        <f>IFERROR(_xlfn.XLOOKUP($B16,'Paste Here'!$A:$A,'Paste Here'!O:O),0)</f>
        <v>0</v>
      </c>
      <c r="Q16" s="137">
        <f>IFERROR(_xlfn.XLOOKUP($B16,'Paste Here'!$A:$A,'Paste Here'!P:P),0)</f>
        <v>0</v>
      </c>
      <c r="R16" s="137">
        <f>IFERROR(_xlfn.XLOOKUP($B16,'Paste Here'!$A:$A,'Paste Here'!Q:Q),0)</f>
        <v>0</v>
      </c>
      <c r="S16" s="137">
        <f>IFERROR(_xlfn.XLOOKUP($B16,'Paste Here'!$A:$A,'Paste Here'!R:R),0)</f>
        <v>0</v>
      </c>
      <c r="T16" s="137">
        <f>IFERROR(_xlfn.XLOOKUP($B16,'Paste Here'!$A:$A,'Paste Here'!S:S),0)</f>
        <v>0</v>
      </c>
      <c r="U16" s="137">
        <f>IFERROR(_xlfn.XLOOKUP($B16,'Paste Here'!$A:$A,'Paste Here'!T:T),0)</f>
        <v>0</v>
      </c>
      <c r="V16" s="137">
        <f>IFERROR(_xlfn.XLOOKUP($B16,'Paste Here'!$A:$A,'Paste Here'!U:U),0)</f>
        <v>0</v>
      </c>
      <c r="W16" s="137">
        <f>IFERROR(_xlfn.XLOOKUP($B16,'Paste Here'!$A:$A,'Paste Here'!V:V),0)</f>
        <v>0</v>
      </c>
      <c r="X16" s="137">
        <f>IFERROR(_xlfn.XLOOKUP($B16,'Paste Here'!$A:$A,'Paste Here'!W:W),0)</f>
        <v>0</v>
      </c>
      <c r="Y16" s="137">
        <f>IFERROR(_xlfn.XLOOKUP($B16,'Paste Here'!$A:$A,'Paste Here'!X:X),0)</f>
        <v>0</v>
      </c>
      <c r="Z16" s="137">
        <f>IFERROR(_xlfn.XLOOKUP($B16,'Paste Here'!$A:$A,'Paste Here'!Y:Y),0)</f>
        <v>0</v>
      </c>
      <c r="AA16" s="137">
        <f>IFERROR(_xlfn.XLOOKUP($B16,'Paste Here'!$A:$A,'Paste Here'!Z:Z),0)</f>
        <v>0</v>
      </c>
      <c r="AB16" s="137">
        <f>IFERROR(_xlfn.XLOOKUP($B16,'Paste Here'!$A:$A,'Paste Here'!AA:AA),0)</f>
        <v>0</v>
      </c>
      <c r="AC16" s="137">
        <f>IFERROR(_xlfn.XLOOKUP($B16,'Paste Here'!$A:$A,'Paste Here'!AB:AB),0)</f>
        <v>0</v>
      </c>
      <c r="AD16" s="137">
        <f>IFERROR(_xlfn.XLOOKUP($B16,'Paste Here'!$A:$A,'Paste Here'!AC:AC),0)</f>
        <v>0</v>
      </c>
      <c r="AE16" s="137">
        <f>IFERROR(_xlfn.XLOOKUP($B16,'Paste Here'!$A:$A,'Paste Here'!AD:AD),0)</f>
        <v>0</v>
      </c>
      <c r="AF16" s="137">
        <f>IFERROR(_xlfn.XLOOKUP($B16,'Paste Here'!$A:$A,'Paste Here'!AE:AE),0)</f>
        <v>0</v>
      </c>
      <c r="AG16" s="137">
        <f>IFERROR(_xlfn.XLOOKUP($B16,'Paste Here'!$A:$A,'Paste Here'!AF:AF),0)</f>
        <v>0</v>
      </c>
      <c r="AH16" s="137">
        <f>IFERROR(_xlfn.XLOOKUP($B16,'Paste Here'!$A:$A,'Paste Here'!AG:AG),0)</f>
        <v>0</v>
      </c>
    </row>
    <row r="17" spans="1:34" s="7" customFormat="1" x14ac:dyDescent="0.25">
      <c r="B17" s="7" t="s">
        <v>6</v>
      </c>
      <c r="C17" s="143">
        <f>IFERROR(_xlfn.XLOOKUP($B17,'Paste Here'!$A:$A,'Paste Here'!B:B),0)</f>
        <v>0</v>
      </c>
      <c r="D17" s="143">
        <f>IFERROR(_xlfn.XLOOKUP($B17,'Paste Here'!$A:$A,'Paste Here'!C:C),0)</f>
        <v>0</v>
      </c>
      <c r="E17" s="143">
        <f>IFERROR(_xlfn.XLOOKUP($B17,'Paste Here'!$A:$A,'Paste Here'!D:D),0)</f>
        <v>0</v>
      </c>
      <c r="F17" s="143">
        <f>IFERROR(_xlfn.XLOOKUP($B17,'Paste Here'!$A:$A,'Paste Here'!E:E),0)</f>
        <v>0</v>
      </c>
      <c r="G17" s="143">
        <f>IFERROR(_xlfn.XLOOKUP($B17,'Paste Here'!$A:$A,'Paste Here'!F:F),0)</f>
        <v>0</v>
      </c>
      <c r="H17" s="143">
        <f>IFERROR(_xlfn.XLOOKUP($B17,'Paste Here'!$A:$A,'Paste Here'!G:G),0)</f>
        <v>0</v>
      </c>
      <c r="I17" s="144">
        <f>IFERROR(_xlfn.XLOOKUP($B17,'Paste Here'!$A:$A,'Paste Here'!H:H),0)</f>
        <v>0</v>
      </c>
      <c r="J17" s="144">
        <f>IFERROR(_xlfn.XLOOKUP($B17,'Paste Here'!$A:$A,'Paste Here'!I:I),0)</f>
        <v>0</v>
      </c>
      <c r="K17" s="144">
        <f>IFERROR(_xlfn.XLOOKUP($B17,'Paste Here'!$A:$A,'Paste Here'!J:J),0)</f>
        <v>0</v>
      </c>
      <c r="L17" s="144">
        <f>IFERROR(_xlfn.XLOOKUP($B17,'Paste Here'!$A:$A,'Paste Here'!K:K),0)</f>
        <v>0</v>
      </c>
      <c r="M17" s="144">
        <f>IFERROR(_xlfn.XLOOKUP($B17,'Paste Here'!$A:$A,'Paste Here'!L:L),0)</f>
        <v>0</v>
      </c>
      <c r="N17" s="144">
        <f>IFERROR(_xlfn.XLOOKUP($B17,'Paste Here'!$A:$A,'Paste Here'!M:M),0)</f>
        <v>0</v>
      </c>
      <c r="O17" s="144">
        <f>IFERROR(_xlfn.XLOOKUP($B17,'Paste Here'!$A:$A,'Paste Here'!N:N),0)</f>
        <v>0</v>
      </c>
      <c r="P17" s="144">
        <f>IFERROR(_xlfn.XLOOKUP($B17,'Paste Here'!$A:$A,'Paste Here'!O:O),0)</f>
        <v>0</v>
      </c>
      <c r="Q17" s="144">
        <f>IFERROR(_xlfn.XLOOKUP($B17,'Paste Here'!$A:$A,'Paste Here'!P:P),0)</f>
        <v>0</v>
      </c>
      <c r="R17" s="144">
        <f>IFERROR(_xlfn.XLOOKUP($B17,'Paste Here'!$A:$A,'Paste Here'!Q:Q),0)</f>
        <v>0</v>
      </c>
      <c r="S17" s="144">
        <f>IFERROR(_xlfn.XLOOKUP($B17,'Paste Here'!$A:$A,'Paste Here'!R:R),0)</f>
        <v>0</v>
      </c>
      <c r="T17" s="144">
        <f>IFERROR(_xlfn.XLOOKUP($B17,'Paste Here'!$A:$A,'Paste Here'!S:S),0)</f>
        <v>0</v>
      </c>
      <c r="U17" s="144">
        <f>IFERROR(_xlfn.XLOOKUP($B17,'Paste Here'!$A:$A,'Paste Here'!T:T),0)</f>
        <v>0</v>
      </c>
      <c r="V17" s="144">
        <f>IFERROR(_xlfn.XLOOKUP($B17,'Paste Here'!$A:$A,'Paste Here'!U:U),0)</f>
        <v>0</v>
      </c>
      <c r="W17" s="144">
        <f>IFERROR(_xlfn.XLOOKUP($B17,'Paste Here'!$A:$A,'Paste Here'!V:V),0)</f>
        <v>0</v>
      </c>
      <c r="X17" s="144">
        <f>IFERROR(_xlfn.XLOOKUP($B17,'Paste Here'!$A:$A,'Paste Here'!W:W),0)</f>
        <v>0</v>
      </c>
      <c r="Y17" s="144">
        <f>IFERROR(_xlfn.XLOOKUP($B17,'Paste Here'!$A:$A,'Paste Here'!X:X),0)</f>
        <v>0</v>
      </c>
      <c r="Z17" s="144">
        <f>IFERROR(_xlfn.XLOOKUP($B17,'Paste Here'!$A:$A,'Paste Here'!Y:Y),0)</f>
        <v>0</v>
      </c>
      <c r="AA17" s="144">
        <f>IFERROR(_xlfn.XLOOKUP($B17,'Paste Here'!$A:$A,'Paste Here'!Z:Z),0)</f>
        <v>0</v>
      </c>
      <c r="AB17" s="144">
        <f>IFERROR(_xlfn.XLOOKUP($B17,'Paste Here'!$A:$A,'Paste Here'!AA:AA),0)</f>
        <v>0</v>
      </c>
      <c r="AC17" s="144">
        <f>IFERROR(_xlfn.XLOOKUP($B17,'Paste Here'!$A:$A,'Paste Here'!AB:AB),0)</f>
        <v>0</v>
      </c>
      <c r="AD17" s="144">
        <f>IFERROR(_xlfn.XLOOKUP($B17,'Paste Here'!$A:$A,'Paste Here'!AC:AC),0)</f>
        <v>0</v>
      </c>
      <c r="AE17" s="144">
        <f>IFERROR(_xlfn.XLOOKUP($B17,'Paste Here'!$A:$A,'Paste Here'!AD:AD),0)</f>
        <v>0</v>
      </c>
      <c r="AF17" s="144">
        <f>IFERROR(_xlfn.XLOOKUP($B17,'Paste Here'!$A:$A,'Paste Here'!AE:AE),0)</f>
        <v>0</v>
      </c>
      <c r="AG17" s="144">
        <f>IFERROR(_xlfn.XLOOKUP($B17,'Paste Here'!$A:$A,'Paste Here'!AF:AF),0)</f>
        <v>0</v>
      </c>
      <c r="AH17" s="144">
        <f>IFERROR(_xlfn.XLOOKUP($B17,'Paste Here'!$A:$A,'Paste Here'!AG:AG),0)</f>
        <v>0</v>
      </c>
    </row>
    <row r="18" spans="1:34" x14ac:dyDescent="0.25">
      <c r="A18" s="4" t="s">
        <v>38</v>
      </c>
      <c r="B18" s="83" t="s">
        <v>7</v>
      </c>
      <c r="C18" s="130">
        <f>IFERROR(_xlfn.XLOOKUP($B18,'Paste Here'!$A:$A,'Paste Here'!B:B),0)</f>
        <v>10007.477000000001</v>
      </c>
      <c r="D18" s="130">
        <f>IFERROR(_xlfn.XLOOKUP($B18,'Paste Here'!$A:$A,'Paste Here'!C:C),0)</f>
        <v>9971.09</v>
      </c>
      <c r="E18" s="130">
        <f>IFERROR(_xlfn.XLOOKUP($B18,'Paste Here'!$A:$A,'Paste Here'!D:D),0)</f>
        <v>8690.5730000000003</v>
      </c>
      <c r="F18" s="130">
        <f>IFERROR(_xlfn.XLOOKUP($B18,'Paste Here'!$A:$A,'Paste Here'!E:E),0)</f>
        <v>8999.5210000000006</v>
      </c>
      <c r="G18" s="130">
        <f>IFERROR(_xlfn.XLOOKUP($B18,'Paste Here'!$A:$A,'Paste Here'!F:F),0)</f>
        <v>10979.087</v>
      </c>
      <c r="H18" s="130">
        <f>IFERROR(_xlfn.XLOOKUP($B18,'Paste Here'!$A:$A,'Paste Here'!G:G),0)</f>
        <v>10368.393000000002</v>
      </c>
      <c r="I18" s="129">
        <f>IFERROR(_xlfn.XLOOKUP($B18,'Paste Here'!$A:$A,'Paste Here'!H:H),0)</f>
        <v>13011.91382881278</v>
      </c>
      <c r="J18" s="129">
        <f>IFERROR(_xlfn.XLOOKUP($B18,'Paste Here'!$A:$A,'Paste Here'!I:I),0)</f>
        <v>10361.632413317559</v>
      </c>
      <c r="K18" s="129">
        <f>IFERROR(_xlfn.XLOOKUP($B18,'Paste Here'!$A:$A,'Paste Here'!J:J),0)</f>
        <v>9605.3558516513131</v>
      </c>
      <c r="L18" s="129">
        <f>IFERROR(_xlfn.XLOOKUP($B18,'Paste Here'!$A:$A,'Paste Here'!K:K),0)</f>
        <v>9730.1157919145426</v>
      </c>
      <c r="M18" s="129">
        <f>IFERROR(_xlfn.XLOOKUP($B18,'Paste Here'!$A:$A,'Paste Here'!L:L),0)</f>
        <v>9577.4699999999993</v>
      </c>
      <c r="N18" s="129">
        <f>IFERROR(_xlfn.XLOOKUP($B18,'Paste Here'!$A:$A,'Paste Here'!M:M),0)</f>
        <v>9686.0499999999993</v>
      </c>
      <c r="O18" s="129">
        <f>IFERROR(_xlfn.XLOOKUP($B18,'Paste Here'!$A:$A,'Paste Here'!N:N),0)</f>
        <v>10576.203516713305</v>
      </c>
      <c r="P18" s="129">
        <f>IFERROR(_xlfn.XLOOKUP($B18,'Paste Here'!$A:$A,'Paste Here'!O:O),0)</f>
        <v>10232.150000000001</v>
      </c>
      <c r="Q18" s="129">
        <f>IFERROR(_xlfn.XLOOKUP($B18,'Paste Here'!$A:$A,'Paste Here'!P:P),0)</f>
        <v>9955.7400000000016</v>
      </c>
      <c r="R18" s="129">
        <f>IFERROR(_xlfn.XLOOKUP($B18,'Paste Here'!$A:$A,'Paste Here'!Q:Q),0)</f>
        <v>9866.92</v>
      </c>
      <c r="S18" s="129">
        <f>IFERROR(_xlfn.XLOOKUP($B18,'Paste Here'!$A:$A,'Paste Here'!R:R),0)</f>
        <v>9510.11</v>
      </c>
      <c r="T18" s="129">
        <f>IFERROR(_xlfn.XLOOKUP($B18,'Paste Here'!$A:$A,'Paste Here'!S:S),0)</f>
        <v>11271.227700344791</v>
      </c>
      <c r="U18" s="129">
        <f>IFERROR(_xlfn.XLOOKUP($B18,'Paste Here'!$A:$A,'Paste Here'!T:T),0)</f>
        <v>9922.08</v>
      </c>
      <c r="V18" s="129">
        <f>IFERROR(_xlfn.XLOOKUP($B18,'Paste Here'!$A:$A,'Paste Here'!U:U),0)</f>
        <v>8213.43</v>
      </c>
      <c r="W18" s="129">
        <f>IFERROR(_xlfn.XLOOKUP($B18,'Paste Here'!$A:$A,'Paste Here'!V:V),0)</f>
        <v>7736.6696785654249</v>
      </c>
      <c r="X18" s="129">
        <f>IFERROR(_xlfn.XLOOKUP($B18,'Paste Here'!$A:$A,'Paste Here'!W:W),0)</f>
        <v>8425.5583824337591</v>
      </c>
      <c r="Y18" s="129">
        <f>IFERROR(_xlfn.XLOOKUP($B18,'Paste Here'!$A:$A,'Paste Here'!X:X),0)</f>
        <v>10522.060000000001</v>
      </c>
      <c r="Z18" s="129">
        <f>IFERROR(_xlfn.XLOOKUP($B18,'Paste Here'!$A:$A,'Paste Here'!Y:Y),0)</f>
        <v>10053.91</v>
      </c>
      <c r="AA18" s="129">
        <f>IFERROR(_xlfn.XLOOKUP($B18,'Paste Here'!$A:$A,'Paste Here'!Z:Z),0)</f>
        <v>9648.93</v>
      </c>
      <c r="AB18" s="129">
        <f>IFERROR(_xlfn.XLOOKUP($B18,'Paste Here'!$A:$A,'Paste Here'!AA:AA),0)</f>
        <v>8724.966999519349</v>
      </c>
      <c r="AC18" s="129">
        <f>IFERROR(_xlfn.XLOOKUP($B18,'Paste Here'!$A:$A,'Paste Here'!AB:AB),0)</f>
        <v>8859.7760910418092</v>
      </c>
      <c r="AD18" s="129">
        <f>IFERROR(_xlfn.XLOOKUP($B18,'Paste Here'!$A:$A,'Paste Here'!AC:AC),0)</f>
        <v>8737.901607962749</v>
      </c>
      <c r="AE18" s="129">
        <f>IFERROR(_xlfn.XLOOKUP($B18,'Paste Here'!$A:$A,'Paste Here'!AD:AD),0)</f>
        <v>8736.85</v>
      </c>
      <c r="AF18" s="129">
        <f>IFERROR(_xlfn.XLOOKUP($B18,'Paste Here'!$A:$A,'Paste Here'!AE:AE),0)</f>
        <v>8813.8880465297625</v>
      </c>
      <c r="AG18" s="129">
        <f>IFERROR(_xlfn.XLOOKUP($B18,'Paste Here'!$A:$A,'Paste Here'!AF:AF),0)</f>
        <v>11255.759999999998</v>
      </c>
      <c r="AH18" s="129">
        <f>IFERROR(_xlfn.XLOOKUP($B18,'Paste Here'!$A:$A,'Paste Here'!AG:AG),0)</f>
        <v>8833.2000000000007</v>
      </c>
    </row>
    <row r="19" spans="1:34" s="78" customFormat="1" x14ac:dyDescent="0.25">
      <c r="A19" s="5" t="s">
        <v>8</v>
      </c>
      <c r="B19" s="83" t="s">
        <v>8</v>
      </c>
      <c r="C19" s="130">
        <f>IFERROR(_xlfn.XLOOKUP($B19,'Paste Here'!$A:$A,'Paste Here'!B:B),0)</f>
        <v>3629.4190000000003</v>
      </c>
      <c r="D19" s="130">
        <f>IFERROR(_xlfn.XLOOKUP($B19,'Paste Here'!$A:$A,'Paste Here'!C:C),0)</f>
        <v>3876.8670000000002</v>
      </c>
      <c r="E19" s="130">
        <f>IFERROR(_xlfn.XLOOKUP($B19,'Paste Here'!$A:$A,'Paste Here'!D:D),0)</f>
        <v>3382.087</v>
      </c>
      <c r="F19" s="130">
        <f>IFERROR(_xlfn.XLOOKUP($B19,'Paste Here'!$A:$A,'Paste Here'!E:E),0)</f>
        <v>4102.25</v>
      </c>
      <c r="G19" s="130">
        <f>IFERROR(_xlfn.XLOOKUP($B19,'Paste Here'!$A:$A,'Paste Here'!F:F),0)</f>
        <v>3643.7550000000001</v>
      </c>
      <c r="H19" s="130">
        <f>IFERROR(_xlfn.XLOOKUP($B19,'Paste Here'!$A:$A,'Paste Here'!G:G),0)</f>
        <v>3723.7109999999993</v>
      </c>
      <c r="I19" s="129">
        <f>IFERROR(_xlfn.XLOOKUP($B19,'Paste Here'!$A:$A,'Paste Here'!H:H),0)</f>
        <v>3894.4361711872225</v>
      </c>
      <c r="J19" s="129">
        <f>IFERROR(_xlfn.XLOOKUP($B19,'Paste Here'!$A:$A,'Paste Here'!I:I),0)</f>
        <v>3725.5275866824445</v>
      </c>
      <c r="K19" s="129">
        <f>IFERROR(_xlfn.XLOOKUP($B19,'Paste Here'!$A:$A,'Paste Here'!J:J),0)</f>
        <v>3596.4441483486908</v>
      </c>
      <c r="L19" s="129">
        <f>IFERROR(_xlfn.XLOOKUP($B19,'Paste Here'!$A:$A,'Paste Here'!K:K),0)</f>
        <v>3562.7742080854564</v>
      </c>
      <c r="M19" s="129">
        <f>IFERROR(_xlfn.XLOOKUP($B19,'Paste Here'!$A:$A,'Paste Here'!L:L),0)</f>
        <v>3578.61</v>
      </c>
      <c r="N19" s="129">
        <f>IFERROR(_xlfn.XLOOKUP($B19,'Paste Here'!$A:$A,'Paste Here'!M:M),0)</f>
        <v>3393.69</v>
      </c>
      <c r="O19" s="129">
        <f>IFERROR(_xlfn.XLOOKUP($B19,'Paste Here'!$A:$A,'Paste Here'!N:N),0)</f>
        <v>3632.1564832866934</v>
      </c>
      <c r="P19" s="129">
        <f>IFERROR(_xlfn.XLOOKUP($B19,'Paste Here'!$A:$A,'Paste Here'!O:O),0)</f>
        <v>3602.37</v>
      </c>
      <c r="Q19" s="129">
        <f>IFERROR(_xlfn.XLOOKUP($B19,'Paste Here'!$A:$A,'Paste Here'!P:P),0)</f>
        <v>3656.9299999999994</v>
      </c>
      <c r="R19" s="129">
        <f>IFERROR(_xlfn.XLOOKUP($B19,'Paste Here'!$A:$A,'Paste Here'!Q:Q),0)</f>
        <v>3469.1899999999996</v>
      </c>
      <c r="S19" s="129">
        <f>IFERROR(_xlfn.XLOOKUP($B19,'Paste Here'!$A:$A,'Paste Here'!R:R),0)</f>
        <v>3889.34</v>
      </c>
      <c r="T19" s="129">
        <f>IFERROR(_xlfn.XLOOKUP($B19,'Paste Here'!$A:$A,'Paste Here'!S:S),0)</f>
        <v>4242.3722996552087</v>
      </c>
      <c r="U19" s="129">
        <f>IFERROR(_xlfn.XLOOKUP($B19,'Paste Here'!$A:$A,'Paste Here'!T:T),0)</f>
        <v>3472.46</v>
      </c>
      <c r="V19" s="129">
        <f>IFERROR(_xlfn.XLOOKUP($B19,'Paste Here'!$A:$A,'Paste Here'!U:U),0)</f>
        <v>2749.1800000000003</v>
      </c>
      <c r="W19" s="129">
        <f>IFERROR(_xlfn.XLOOKUP($B19,'Paste Here'!$A:$A,'Paste Here'!V:V),0)</f>
        <v>2400.7503214345743</v>
      </c>
      <c r="X19" s="129">
        <f>IFERROR(_xlfn.XLOOKUP($B19,'Paste Here'!$A:$A,'Paste Here'!W:W),0)</f>
        <v>3347.3916175662434</v>
      </c>
      <c r="Y19" s="129">
        <f>IFERROR(_xlfn.XLOOKUP($B19,'Paste Here'!$A:$A,'Paste Here'!X:X),0)</f>
        <v>3794.3700000000003</v>
      </c>
      <c r="Z19" s="129">
        <f>IFERROR(_xlfn.XLOOKUP($B19,'Paste Here'!$A:$A,'Paste Here'!Y:Y),0)</f>
        <v>4661.74</v>
      </c>
      <c r="AA19" s="129">
        <f>IFERROR(_xlfn.XLOOKUP($B19,'Paste Here'!$A:$A,'Paste Here'!Z:Z),0)</f>
        <v>4443.2599999999993</v>
      </c>
      <c r="AB19" s="129">
        <f>IFERROR(_xlfn.XLOOKUP($B19,'Paste Here'!$A:$A,'Paste Here'!AA:AA),0)</f>
        <v>3766.8130004806521</v>
      </c>
      <c r="AC19" s="129">
        <f>IFERROR(_xlfn.XLOOKUP($B19,'Paste Here'!$A:$A,'Paste Here'!AB:AB),0)</f>
        <v>3779.3439089581907</v>
      </c>
      <c r="AD19" s="129">
        <f>IFERROR(_xlfn.XLOOKUP($B19,'Paste Here'!$A:$A,'Paste Here'!AC:AC),0)</f>
        <v>3724.1983920372531</v>
      </c>
      <c r="AE19" s="129">
        <f>IFERROR(_xlfn.XLOOKUP($B19,'Paste Here'!$A:$A,'Paste Here'!AD:AD),0)</f>
        <v>3888.13</v>
      </c>
      <c r="AF19" s="129">
        <f>IFERROR(_xlfn.XLOOKUP($B19,'Paste Here'!$A:$A,'Paste Here'!AE:AE),0)</f>
        <v>4096.5119534702362</v>
      </c>
      <c r="AG19" s="129">
        <f>IFERROR(_xlfn.XLOOKUP($B19,'Paste Here'!$A:$A,'Paste Here'!AF:AF),0)</f>
        <v>4389.33</v>
      </c>
      <c r="AH19" s="129">
        <f>IFERROR(_xlfn.XLOOKUP($B19,'Paste Here'!$A:$A,'Paste Here'!AG:AG),0)</f>
        <v>3496.8</v>
      </c>
    </row>
    <row r="20" spans="1:34" x14ac:dyDescent="0.25">
      <c r="B20" s="83" t="s">
        <v>9</v>
      </c>
      <c r="C20" s="130">
        <f>IFERROR(_xlfn.XLOOKUP($B20,'Paste Here'!$A:$A,'Paste Here'!B:B),0)</f>
        <v>297.82299999999998</v>
      </c>
      <c r="D20" s="130">
        <f>IFERROR(_xlfn.XLOOKUP($B20,'Paste Here'!$A:$A,'Paste Here'!C:C),0)</f>
        <v>0</v>
      </c>
      <c r="E20" s="130">
        <f>IFERROR(_xlfn.XLOOKUP($B20,'Paste Here'!$A:$A,'Paste Here'!D:D),0)</f>
        <v>0</v>
      </c>
      <c r="F20" s="130">
        <f>IFERROR(_xlfn.XLOOKUP($B20,'Paste Here'!$A:$A,'Paste Here'!E:E),0)</f>
        <v>0</v>
      </c>
      <c r="G20" s="130">
        <f>IFERROR(_xlfn.XLOOKUP($B20,'Paste Here'!$A:$A,'Paste Here'!F:F),0)</f>
        <v>201.25400000000002</v>
      </c>
      <c r="H20" s="130">
        <f>IFERROR(_xlfn.XLOOKUP($B20,'Paste Here'!$A:$A,'Paste Here'!G:G),0)</f>
        <v>40.454999999999998</v>
      </c>
      <c r="I20" s="129">
        <f>IFERROR(_xlfn.XLOOKUP($B20,'Paste Here'!$A:$A,'Paste Here'!H:H),0)</f>
        <v>0</v>
      </c>
      <c r="J20" s="129">
        <f>IFERROR(_xlfn.XLOOKUP($B20,'Paste Here'!$A:$A,'Paste Here'!I:I),0)</f>
        <v>0</v>
      </c>
      <c r="K20" s="129">
        <f>IFERROR(_xlfn.XLOOKUP($B20,'Paste Here'!$A:$A,'Paste Here'!J:J),0)</f>
        <v>0</v>
      </c>
      <c r="L20" s="129">
        <f>IFERROR(_xlfn.XLOOKUP($B20,'Paste Here'!$A:$A,'Paste Here'!K:K),0)</f>
        <v>0</v>
      </c>
      <c r="M20" s="129">
        <f>IFERROR(_xlfn.XLOOKUP($B20,'Paste Here'!$A:$A,'Paste Here'!L:L),0)</f>
        <v>0</v>
      </c>
      <c r="N20" s="129">
        <f>IFERROR(_xlfn.XLOOKUP($B20,'Paste Here'!$A:$A,'Paste Here'!M:M),0)</f>
        <v>0</v>
      </c>
      <c r="O20" s="129">
        <f>IFERROR(_xlfn.XLOOKUP($B20,'Paste Here'!$A:$A,'Paste Here'!N:N),0)</f>
        <v>0</v>
      </c>
      <c r="P20" s="129">
        <f>IFERROR(_xlfn.XLOOKUP($B20,'Paste Here'!$A:$A,'Paste Here'!O:O),0)</f>
        <v>0</v>
      </c>
      <c r="Q20" s="129">
        <f>IFERROR(_xlfn.XLOOKUP($B20,'Paste Here'!$A:$A,'Paste Here'!P:P),0)</f>
        <v>0</v>
      </c>
      <c r="R20" s="129">
        <f>IFERROR(_xlfn.XLOOKUP($B20,'Paste Here'!$A:$A,'Paste Here'!Q:Q),0)</f>
        <v>0</v>
      </c>
      <c r="S20" s="129">
        <f>IFERROR(_xlfn.XLOOKUP($B20,'Paste Here'!$A:$A,'Paste Here'!R:R),0)</f>
        <v>0</v>
      </c>
      <c r="T20" s="129">
        <f>IFERROR(_xlfn.XLOOKUP($B20,'Paste Here'!$A:$A,'Paste Here'!S:S),0)</f>
        <v>0</v>
      </c>
      <c r="U20" s="129">
        <f>IFERROR(_xlfn.XLOOKUP($B20,'Paste Here'!$A:$A,'Paste Here'!T:T),0)</f>
        <v>0</v>
      </c>
      <c r="V20" s="129">
        <f>IFERROR(_xlfn.XLOOKUP($B20,'Paste Here'!$A:$A,'Paste Here'!U:U),0)</f>
        <v>0</v>
      </c>
      <c r="W20" s="129">
        <f>IFERROR(_xlfn.XLOOKUP($B20,'Paste Here'!$A:$A,'Paste Here'!V:V),0)</f>
        <v>0</v>
      </c>
      <c r="X20" s="129">
        <f>IFERROR(_xlfn.XLOOKUP($B20,'Paste Here'!$A:$A,'Paste Here'!W:W),0)</f>
        <v>0</v>
      </c>
      <c r="Y20" s="129">
        <f>IFERROR(_xlfn.XLOOKUP($B20,'Paste Here'!$A:$A,'Paste Here'!X:X),0)</f>
        <v>0</v>
      </c>
      <c r="Z20" s="129">
        <f>IFERROR(_xlfn.XLOOKUP($B20,'Paste Here'!$A:$A,'Paste Here'!Y:Y),0)</f>
        <v>0</v>
      </c>
      <c r="AA20" s="129">
        <f>IFERROR(_xlfn.XLOOKUP($B20,'Paste Here'!$A:$A,'Paste Here'!Z:Z),0)</f>
        <v>0</v>
      </c>
      <c r="AB20" s="129">
        <f>IFERROR(_xlfn.XLOOKUP($B20,'Paste Here'!$A:$A,'Paste Here'!AA:AA),0)</f>
        <v>0</v>
      </c>
      <c r="AC20" s="129">
        <f>IFERROR(_xlfn.XLOOKUP($B20,'Paste Here'!$A:$A,'Paste Here'!AB:AB),0)</f>
        <v>0</v>
      </c>
      <c r="AD20" s="129">
        <f>IFERROR(_xlfn.XLOOKUP($B20,'Paste Here'!$A:$A,'Paste Here'!AC:AC),0)</f>
        <v>0</v>
      </c>
      <c r="AE20" s="129">
        <f>IFERROR(_xlfn.XLOOKUP($B20,'Paste Here'!$A:$A,'Paste Here'!AD:AD),0)</f>
        <v>0</v>
      </c>
      <c r="AF20" s="129">
        <f>IFERROR(_xlfn.XLOOKUP($B20,'Paste Here'!$A:$A,'Paste Here'!AE:AE),0)</f>
        <v>0</v>
      </c>
      <c r="AG20" s="129">
        <f>IFERROR(_xlfn.XLOOKUP($B20,'Paste Here'!$A:$A,'Paste Here'!AF:AF),0)</f>
        <v>0</v>
      </c>
      <c r="AH20" s="129">
        <f>IFERROR(_xlfn.XLOOKUP($B20,'Paste Here'!$A:$A,'Paste Here'!AG:AG),0)</f>
        <v>0</v>
      </c>
    </row>
    <row r="21" spans="1:34" x14ac:dyDescent="0.25">
      <c r="A21" s="6" t="s">
        <v>14</v>
      </c>
      <c r="B21" s="83" t="s">
        <v>10</v>
      </c>
      <c r="C21" s="131">
        <f>IFERROR(_xlfn.XLOOKUP($B21,'Paste Here'!$A:$A,'Paste Here'!B:B),0)</f>
        <v>13934.719000000001</v>
      </c>
      <c r="D21" s="131">
        <f>IFERROR(_xlfn.XLOOKUP($B21,'Paste Here'!$A:$A,'Paste Here'!C:C),0)</f>
        <v>13847.957000000002</v>
      </c>
      <c r="E21" s="131">
        <f>IFERROR(_xlfn.XLOOKUP($B21,'Paste Here'!$A:$A,'Paste Here'!D:D),0)</f>
        <v>12072.660000000002</v>
      </c>
      <c r="F21" s="131">
        <f>IFERROR(_xlfn.XLOOKUP($B21,'Paste Here'!$A:$A,'Paste Here'!E:E),0)</f>
        <v>13101.771000000001</v>
      </c>
      <c r="G21" s="131">
        <f>IFERROR(_xlfn.XLOOKUP($B21,'Paste Here'!$A:$A,'Paste Here'!F:F),0)</f>
        <v>14824.096</v>
      </c>
      <c r="H21" s="131">
        <f>IFERROR(_xlfn.XLOOKUP($B21,'Paste Here'!$A:$A,'Paste Here'!G:G),0)</f>
        <v>14132.558999999999</v>
      </c>
      <c r="I21" s="163">
        <f>IFERROR(_xlfn.XLOOKUP($B21,'Paste Here'!$A:$A,'Paste Here'!H:H),0)</f>
        <v>16906.350000000002</v>
      </c>
      <c r="J21" s="163">
        <f>IFERROR(_xlfn.XLOOKUP($B21,'Paste Here'!$A:$A,'Paste Here'!I:I),0)</f>
        <v>14087.160000000002</v>
      </c>
      <c r="K21" s="163">
        <f>IFERROR(_xlfn.XLOOKUP($B21,'Paste Here'!$A:$A,'Paste Here'!J:J),0)</f>
        <v>13201.800000000003</v>
      </c>
      <c r="L21" s="163">
        <f>IFERROR(_xlfn.XLOOKUP($B21,'Paste Here'!$A:$A,'Paste Here'!K:K),0)</f>
        <v>13292.889999999998</v>
      </c>
      <c r="M21" s="163">
        <f>IFERROR(_xlfn.XLOOKUP($B21,'Paste Here'!$A:$A,'Paste Here'!L:L),0)</f>
        <v>13156.079999999998</v>
      </c>
      <c r="N21" s="163">
        <f>IFERROR(_xlfn.XLOOKUP($B21,'Paste Here'!$A:$A,'Paste Here'!M:M),0)</f>
        <v>13079.739999999998</v>
      </c>
      <c r="O21" s="163">
        <f>IFERROR(_xlfn.XLOOKUP($B21,'Paste Here'!$A:$A,'Paste Here'!N:N),0)</f>
        <v>14208.36</v>
      </c>
      <c r="P21" s="163">
        <f>IFERROR(_xlfn.XLOOKUP($B21,'Paste Here'!$A:$A,'Paste Here'!O:O),0)</f>
        <v>13834.520000000002</v>
      </c>
      <c r="Q21" s="163">
        <f>IFERROR(_xlfn.XLOOKUP($B21,'Paste Here'!$A:$A,'Paste Here'!P:P),0)</f>
        <v>13612.67</v>
      </c>
      <c r="R21" s="163">
        <f>IFERROR(_xlfn.XLOOKUP($B21,'Paste Here'!$A:$A,'Paste Here'!Q:Q),0)</f>
        <v>13336.11</v>
      </c>
      <c r="S21" s="163">
        <f>IFERROR(_xlfn.XLOOKUP($B21,'Paste Here'!$A:$A,'Paste Here'!R:R),0)</f>
        <v>13399.449999999999</v>
      </c>
      <c r="T21" s="163">
        <f>IFERROR(_xlfn.XLOOKUP($B21,'Paste Here'!$A:$A,'Paste Here'!S:S),0)</f>
        <v>15513.6</v>
      </c>
      <c r="U21" s="163">
        <f>IFERROR(_xlfn.XLOOKUP($B21,'Paste Here'!$A:$A,'Paste Here'!T:T),0)</f>
        <v>13394.54</v>
      </c>
      <c r="V21" s="163">
        <f>IFERROR(_xlfn.XLOOKUP($B21,'Paste Here'!$A:$A,'Paste Here'!U:U),0)</f>
        <v>10962.609999999999</v>
      </c>
      <c r="W21" s="163">
        <f>IFERROR(_xlfn.XLOOKUP($B21,'Paste Here'!$A:$A,'Paste Here'!V:V),0)</f>
        <v>10137.419999999998</v>
      </c>
      <c r="X21" s="163">
        <f>IFERROR(_xlfn.XLOOKUP($B21,'Paste Here'!$A:$A,'Paste Here'!W:W),0)</f>
        <v>11772.950000000003</v>
      </c>
      <c r="Y21" s="163">
        <f>IFERROR(_xlfn.XLOOKUP($B21,'Paste Here'!$A:$A,'Paste Here'!X:X),0)</f>
        <v>14316.430000000002</v>
      </c>
      <c r="Z21" s="163">
        <f>IFERROR(_xlfn.XLOOKUP($B21,'Paste Here'!$A:$A,'Paste Here'!Y:Y),0)</f>
        <v>14715.650000000003</v>
      </c>
      <c r="AA21" s="163">
        <f>IFERROR(_xlfn.XLOOKUP($B21,'Paste Here'!$A:$A,'Paste Here'!Z:Z),0)</f>
        <v>14092.19</v>
      </c>
      <c r="AB21" s="163">
        <f>IFERROR(_xlfn.XLOOKUP($B21,'Paste Here'!$A:$A,'Paste Here'!AA:AA),0)</f>
        <v>12491.780000000002</v>
      </c>
      <c r="AC21" s="163">
        <f>IFERROR(_xlfn.XLOOKUP($B21,'Paste Here'!$A:$A,'Paste Here'!AB:AB),0)</f>
        <v>12639.119999999999</v>
      </c>
      <c r="AD21" s="163">
        <f>IFERROR(_xlfn.XLOOKUP($B21,'Paste Here'!$A:$A,'Paste Here'!AC:AC),0)</f>
        <v>12462.1</v>
      </c>
      <c r="AE21" s="163">
        <f>IFERROR(_xlfn.XLOOKUP($B21,'Paste Here'!$A:$A,'Paste Here'!AD:AD),0)</f>
        <v>12624.98</v>
      </c>
      <c r="AF21" s="163">
        <f>IFERROR(_xlfn.XLOOKUP($B21,'Paste Here'!$A:$A,'Paste Here'!AE:AE),0)</f>
        <v>12910.399999999998</v>
      </c>
      <c r="AG21" s="163">
        <f>IFERROR(_xlfn.XLOOKUP($B21,'Paste Here'!$A:$A,'Paste Here'!AF:AF),0)</f>
        <v>15645.09</v>
      </c>
      <c r="AH21" s="163">
        <f>IFERROR(_xlfn.XLOOKUP($B21,'Paste Here'!$A:$A,'Paste Here'!AG:AG),0)</f>
        <v>12330</v>
      </c>
    </row>
    <row r="22" spans="1:34" x14ac:dyDescent="0.25">
      <c r="B22" s="83" t="s">
        <v>11</v>
      </c>
      <c r="C22" s="131">
        <f>IFERROR(_xlfn.XLOOKUP($B22,'Paste Here'!$A:$A,'Paste Here'!B:B),0)</f>
        <v>6815.12</v>
      </c>
      <c r="D22" s="131">
        <f>IFERROR(_xlfn.XLOOKUP($B22,'Paste Here'!$A:$A,'Paste Here'!C:C),0)</f>
        <v>7643.7059999999992</v>
      </c>
      <c r="E22" s="131">
        <f>IFERROR(_xlfn.XLOOKUP($B22,'Paste Here'!$A:$A,'Paste Here'!D:D),0)</f>
        <v>8230.7090000000007</v>
      </c>
      <c r="F22" s="131">
        <f>IFERROR(_xlfn.XLOOKUP($B22,'Paste Here'!$A:$A,'Paste Here'!E:E),0)</f>
        <v>7483.62</v>
      </c>
      <c r="G22" s="131">
        <f>IFERROR(_xlfn.XLOOKUP($B22,'Paste Here'!$A:$A,'Paste Here'!F:F),0)</f>
        <v>7821.6380000000008</v>
      </c>
      <c r="H22" s="131">
        <f>IFERROR(_xlfn.XLOOKUP($B22,'Paste Here'!$A:$A,'Paste Here'!G:G),0)</f>
        <v>7754.7690000000002</v>
      </c>
      <c r="I22" s="163">
        <f>IFERROR(_xlfn.XLOOKUP($B22,'Paste Here'!$A:$A,'Paste Here'!H:H),0)</f>
        <v>11180.796999999999</v>
      </c>
      <c r="J22" s="163">
        <f>IFERROR(_xlfn.XLOOKUP($B22,'Paste Here'!$A:$A,'Paste Here'!I:I),0)</f>
        <v>8371.8130000000001</v>
      </c>
      <c r="K22" s="163">
        <f>IFERROR(_xlfn.XLOOKUP($B22,'Paste Here'!$A:$A,'Paste Here'!J:J),0)</f>
        <v>10117.606000000002</v>
      </c>
      <c r="L22" s="163">
        <f>IFERROR(_xlfn.XLOOKUP($B22,'Paste Here'!$A:$A,'Paste Here'!K:K),0)</f>
        <v>8669.8359999999993</v>
      </c>
      <c r="M22" s="163">
        <f>IFERROR(_xlfn.XLOOKUP($B22,'Paste Here'!$A:$A,'Paste Here'!L:L),0)</f>
        <v>8260.0560000000005</v>
      </c>
      <c r="N22" s="163">
        <f>IFERROR(_xlfn.XLOOKUP($B22,'Paste Here'!$A:$A,'Paste Here'!M:M),0)</f>
        <v>9513.43</v>
      </c>
      <c r="O22" s="163">
        <f>IFERROR(_xlfn.XLOOKUP($B22,'Paste Here'!$A:$A,'Paste Here'!N:N),0)</f>
        <v>10133.839999999998</v>
      </c>
      <c r="P22" s="163">
        <f>IFERROR(_xlfn.XLOOKUP($B22,'Paste Here'!$A:$A,'Paste Here'!O:O),0)</f>
        <v>9543.5000000000018</v>
      </c>
      <c r="Q22" s="163">
        <f>IFERROR(_xlfn.XLOOKUP($B22,'Paste Here'!$A:$A,'Paste Here'!P:P),0)</f>
        <v>9795</v>
      </c>
      <c r="R22" s="163">
        <f>IFERROR(_xlfn.XLOOKUP($B22,'Paste Here'!$A:$A,'Paste Here'!Q:Q),0)</f>
        <v>9766.619999999999</v>
      </c>
      <c r="S22" s="163">
        <f>IFERROR(_xlfn.XLOOKUP($B22,'Paste Here'!$A:$A,'Paste Here'!R:R),0)</f>
        <v>9361.33</v>
      </c>
      <c r="T22" s="163">
        <f>IFERROR(_xlfn.XLOOKUP($B22,'Paste Here'!$A:$A,'Paste Here'!S:S),0)</f>
        <v>9499.2000000000007</v>
      </c>
      <c r="U22" s="163">
        <f>IFERROR(_xlfn.XLOOKUP($B22,'Paste Here'!$A:$A,'Paste Here'!T:T),0)</f>
        <v>9012.2999999999975</v>
      </c>
      <c r="V22" s="163">
        <f>IFERROR(_xlfn.XLOOKUP($B22,'Paste Here'!$A:$A,'Paste Here'!U:U),0)</f>
        <v>7789.93</v>
      </c>
      <c r="W22" s="163">
        <f>IFERROR(_xlfn.XLOOKUP($B22,'Paste Here'!$A:$A,'Paste Here'!V:V),0)</f>
        <v>7887.95</v>
      </c>
      <c r="X22" s="163">
        <f>IFERROR(_xlfn.XLOOKUP($B22,'Paste Here'!$A:$A,'Paste Here'!W:W),0)</f>
        <v>9269.7100000000009</v>
      </c>
      <c r="Y22" s="163">
        <f>IFERROR(_xlfn.XLOOKUP($B22,'Paste Here'!$A:$A,'Paste Here'!X:X),0)</f>
        <v>9218.4399999999987</v>
      </c>
      <c r="Z22" s="163">
        <f>IFERROR(_xlfn.XLOOKUP($B22,'Paste Here'!$A:$A,'Paste Here'!Y:Y),0)</f>
        <v>9113.91</v>
      </c>
      <c r="AA22" s="163">
        <f>IFERROR(_xlfn.XLOOKUP($B22,'Paste Here'!$A:$A,'Paste Here'!Z:Z),0)</f>
        <v>5638.4599999999991</v>
      </c>
      <c r="AB22" s="163">
        <f>IFERROR(_xlfn.XLOOKUP($B22,'Paste Here'!$A:$A,'Paste Here'!AA:AA),0)</f>
        <v>6800.3499999999995</v>
      </c>
      <c r="AC22" s="163">
        <f>IFERROR(_xlfn.XLOOKUP($B22,'Paste Here'!$A:$A,'Paste Here'!AB:AB),0)</f>
        <v>8111.1399999999985</v>
      </c>
      <c r="AD22" s="163">
        <f>IFERROR(_xlfn.XLOOKUP($B22,'Paste Here'!$A:$A,'Paste Here'!AC:AC),0)</f>
        <v>8464.4600000000009</v>
      </c>
      <c r="AE22" s="163">
        <f>IFERROR(_xlfn.XLOOKUP($B22,'Paste Here'!$A:$A,'Paste Here'!AD:AD),0)</f>
        <v>8640.17</v>
      </c>
      <c r="AF22" s="163">
        <f>IFERROR(_xlfn.XLOOKUP($B22,'Paste Here'!$A:$A,'Paste Here'!AE:AE),0)</f>
        <v>8750.5199999999986</v>
      </c>
      <c r="AG22" s="163">
        <f>IFERROR(_xlfn.XLOOKUP($B22,'Paste Here'!$A:$A,'Paste Here'!AF:AF),0)</f>
        <v>9396.1299999999992</v>
      </c>
      <c r="AH22" s="163">
        <f>IFERROR(_xlfn.XLOOKUP($B22,'Paste Here'!$A:$A,'Paste Here'!AG:AG),0)</f>
        <v>8209.9900000000016</v>
      </c>
    </row>
    <row r="23" spans="1:34" x14ac:dyDescent="0.25">
      <c r="A23" s="73" t="s">
        <v>42</v>
      </c>
      <c r="B23" s="84" t="s">
        <v>12</v>
      </c>
      <c r="C23" s="131">
        <f>IFERROR(_xlfn.XLOOKUP($B23,'Paste Here'!$A:$A,'Paste Here'!B:B),0)</f>
        <v>20749.839000000004</v>
      </c>
      <c r="D23" s="131">
        <f>IFERROR(_xlfn.XLOOKUP($B23,'Paste Here'!$A:$A,'Paste Here'!C:C),0)</f>
        <v>21491.663</v>
      </c>
      <c r="E23" s="131">
        <f>IFERROR(_xlfn.XLOOKUP($B23,'Paste Here'!$A:$A,'Paste Here'!D:D),0)</f>
        <v>20303.369000000002</v>
      </c>
      <c r="F23" s="131">
        <f>IFERROR(_xlfn.XLOOKUP($B23,'Paste Here'!$A:$A,'Paste Here'!E:E),0)</f>
        <v>20585.391000000003</v>
      </c>
      <c r="G23" s="131">
        <f>IFERROR(_xlfn.XLOOKUP($B23,'Paste Here'!$A:$A,'Paste Here'!F:F),0)</f>
        <v>22645.733999999997</v>
      </c>
      <c r="H23" s="131">
        <f>IFERROR(_xlfn.XLOOKUP($B23,'Paste Here'!$A:$A,'Paste Here'!G:G),0)</f>
        <v>21887.328000000005</v>
      </c>
      <c r="I23" s="163">
        <f>IFERROR(_xlfn.XLOOKUP($B23,'Paste Here'!$A:$A,'Paste Here'!H:H),0)</f>
        <v>28087.147000000004</v>
      </c>
      <c r="J23" s="163">
        <f>IFERROR(_xlfn.XLOOKUP($B23,'Paste Here'!$A:$A,'Paste Here'!I:I),0)</f>
        <v>22458.973000000002</v>
      </c>
      <c r="K23" s="163">
        <f>IFERROR(_xlfn.XLOOKUP($B23,'Paste Here'!$A:$A,'Paste Here'!J:J),0)</f>
        <v>23319.406000000006</v>
      </c>
      <c r="L23" s="163">
        <f>IFERROR(_xlfn.XLOOKUP($B23,'Paste Here'!$A:$A,'Paste Here'!K:K),0)</f>
        <v>21962.725999999991</v>
      </c>
      <c r="M23" s="163">
        <f>IFERROR(_xlfn.XLOOKUP($B23,'Paste Here'!$A:$A,'Paste Here'!L:L),0)</f>
        <v>21416.135999999999</v>
      </c>
      <c r="N23" s="163">
        <f>IFERROR(_xlfn.XLOOKUP($B23,'Paste Here'!$A:$A,'Paste Here'!M:M),0)</f>
        <v>22593.170000000006</v>
      </c>
      <c r="O23" s="163">
        <f>IFERROR(_xlfn.XLOOKUP($B23,'Paste Here'!$A:$A,'Paste Here'!N:N),0)</f>
        <v>24342.2</v>
      </c>
      <c r="P23" s="163">
        <f>IFERROR(_xlfn.XLOOKUP($B23,'Paste Here'!$A:$A,'Paste Here'!O:O),0)</f>
        <v>23378.02</v>
      </c>
      <c r="Q23" s="163">
        <f>IFERROR(_xlfn.XLOOKUP($B23,'Paste Here'!$A:$A,'Paste Here'!P:P),0)</f>
        <v>23407.670000000002</v>
      </c>
      <c r="R23" s="163">
        <f>IFERROR(_xlfn.XLOOKUP($B23,'Paste Here'!$A:$A,'Paste Here'!Q:Q),0)</f>
        <v>23102.730000000003</v>
      </c>
      <c r="S23" s="163">
        <f>IFERROR(_xlfn.XLOOKUP($B23,'Paste Here'!$A:$A,'Paste Here'!R:R),0)</f>
        <v>22760.78</v>
      </c>
      <c r="T23" s="163">
        <f>IFERROR(_xlfn.XLOOKUP($B23,'Paste Here'!$A:$A,'Paste Here'!S:S),0)</f>
        <v>25012.799999999999</v>
      </c>
      <c r="U23" s="163">
        <f>IFERROR(_xlfn.XLOOKUP($B23,'Paste Here'!$A:$A,'Paste Here'!T:T),0)</f>
        <v>22406.839999999997</v>
      </c>
      <c r="V23" s="163">
        <f>IFERROR(_xlfn.XLOOKUP($B23,'Paste Here'!$A:$A,'Paste Here'!U:U),0)</f>
        <v>18752.54</v>
      </c>
      <c r="W23" s="163">
        <f>IFERROR(_xlfn.XLOOKUP($B23,'Paste Here'!$A:$A,'Paste Here'!V:V),0)</f>
        <v>18025.369999999995</v>
      </c>
      <c r="X23" s="163">
        <f>IFERROR(_xlfn.XLOOKUP($B23,'Paste Here'!$A:$A,'Paste Here'!W:W),0)</f>
        <v>21042.660000000003</v>
      </c>
      <c r="Y23" s="163">
        <f>IFERROR(_xlfn.XLOOKUP($B23,'Paste Here'!$A:$A,'Paste Here'!X:X),0)</f>
        <v>23534.870000000003</v>
      </c>
      <c r="Z23" s="163">
        <f>IFERROR(_xlfn.XLOOKUP($B23,'Paste Here'!$A:$A,'Paste Here'!Y:Y),0)</f>
        <v>23829.560000000005</v>
      </c>
      <c r="AA23" s="163">
        <f>IFERROR(_xlfn.XLOOKUP($B23,'Paste Here'!$A:$A,'Paste Here'!Z:Z),0)</f>
        <v>19730.650000000001</v>
      </c>
      <c r="AB23" s="163">
        <f>IFERROR(_xlfn.XLOOKUP($B23,'Paste Here'!$A:$A,'Paste Here'!AA:AA),0)</f>
        <v>19292.130000000008</v>
      </c>
      <c r="AC23" s="163">
        <f>IFERROR(_xlfn.XLOOKUP($B23,'Paste Here'!$A:$A,'Paste Here'!AB:AB),0)</f>
        <v>20750.259999999998</v>
      </c>
      <c r="AD23" s="163">
        <f>IFERROR(_xlfn.XLOOKUP($B23,'Paste Here'!$A:$A,'Paste Here'!AC:AC),0)</f>
        <v>20926.559999999998</v>
      </c>
      <c r="AE23" s="163">
        <f>IFERROR(_xlfn.XLOOKUP($B23,'Paste Here'!$A:$A,'Paste Here'!AD:AD),0)</f>
        <v>21265.15</v>
      </c>
      <c r="AF23" s="163">
        <f>IFERROR(_xlfn.XLOOKUP($B23,'Paste Here'!$A:$A,'Paste Here'!AE:AE),0)</f>
        <v>21660.920000000002</v>
      </c>
      <c r="AG23" s="163">
        <f>IFERROR(_xlfn.XLOOKUP($B23,'Paste Here'!$A:$A,'Paste Here'!AF:AF),0)</f>
        <v>25041.219999999998</v>
      </c>
      <c r="AH23" s="163">
        <f>IFERROR(_xlfn.XLOOKUP($B23,'Paste Here'!$A:$A,'Paste Here'!AG:AG),0)</f>
        <v>20539.990000000002</v>
      </c>
    </row>
    <row r="24" spans="1:34" x14ac:dyDescent="0.25">
      <c r="B24" t="s">
        <v>13</v>
      </c>
      <c r="C24" s="151">
        <f>IFERROR(_xlfn.XLOOKUP($B24,'Paste Here'!$A:$A,'Paste Here'!B:B),0)</f>
        <v>5.776542749085934E-2</v>
      </c>
      <c r="D24" s="151">
        <f>IFERROR(_xlfn.XLOOKUP($B24,'Paste Here'!$A:$A,'Paste Here'!C:C),0)</f>
        <v>5.7071089980998628E-2</v>
      </c>
      <c r="E24" s="151">
        <f>IFERROR(_xlfn.XLOOKUP($B24,'Paste Here'!$A:$A,'Paste Here'!D:D),0)</f>
        <v>8.2201933956559683E-2</v>
      </c>
      <c r="F24" s="151">
        <f>IFERROR(_xlfn.XLOOKUP($B24,'Paste Here'!$A:$A,'Paste Here'!E:E),0)</f>
        <v>6.4379540750635927E-2</v>
      </c>
      <c r="G24" s="151">
        <f>IFERROR(_xlfn.XLOOKUP($B24,'Paste Here'!$A:$A,'Paste Here'!F:F),0)</f>
        <v>7.3257485650389739E-2</v>
      </c>
      <c r="H24" s="151">
        <f>IFERROR(_xlfn.XLOOKUP($B24,'Paste Here'!$A:$A,'Paste Here'!G:G),0)</f>
        <v>5.5953843886305379E-2</v>
      </c>
      <c r="I24" s="152">
        <f>IFERROR(_xlfn.XLOOKUP($B24,'Paste Here'!$A:$A,'Paste Here'!H:H),0)</f>
        <v>6.4999999999999988E-2</v>
      </c>
      <c r="J24" s="152">
        <f>IFERROR(_xlfn.XLOOKUP($B24,'Paste Here'!$A:$A,'Paste Here'!I:I),0)</f>
        <v>6.4999999999999988E-2</v>
      </c>
      <c r="K24" s="152">
        <f>IFERROR(_xlfn.XLOOKUP($B24,'Paste Here'!$A:$A,'Paste Here'!J:J),0)</f>
        <v>6.5000000000000002E-2</v>
      </c>
      <c r="L24" s="152">
        <f>IFERROR(_xlfn.XLOOKUP($B24,'Paste Here'!$A:$A,'Paste Here'!K:K),0)</f>
        <v>6.5000000000000002E-2</v>
      </c>
      <c r="M24" s="152">
        <f>IFERROR(_xlfn.XLOOKUP($B24,'Paste Here'!$A:$A,'Paste Here'!L:L),0)</f>
        <v>6.5000000000000002E-2</v>
      </c>
      <c r="N24" s="152">
        <f>IFERROR(_xlfn.XLOOKUP($B24,'Paste Here'!$A:$A,'Paste Here'!M:M),0)</f>
        <v>6.5000000000000016E-2</v>
      </c>
      <c r="O24" s="152">
        <f>IFERROR(_xlfn.XLOOKUP($B24,'Paste Here'!$A:$A,'Paste Here'!N:N),0)</f>
        <v>6.4999999999999988E-2</v>
      </c>
      <c r="P24" s="152">
        <f>IFERROR(_xlfn.XLOOKUP($B24,'Paste Here'!$A:$A,'Paste Here'!O:O),0)</f>
        <v>6.4999999999999988E-2</v>
      </c>
      <c r="Q24" s="152">
        <f>IFERROR(_xlfn.XLOOKUP($B24,'Paste Here'!$A:$A,'Paste Here'!P:P),0)</f>
        <v>6.5000000000000002E-2</v>
      </c>
      <c r="R24" s="152">
        <f>IFERROR(_xlfn.XLOOKUP($B24,'Paste Here'!$A:$A,'Paste Here'!Q:Q),0)</f>
        <v>6.5000000000000002E-2</v>
      </c>
      <c r="S24" s="152">
        <f>IFERROR(_xlfn.XLOOKUP($B24,'Paste Here'!$A:$A,'Paste Here'!R:R),0)</f>
        <v>6.5000000000000002E-2</v>
      </c>
      <c r="T24" s="152">
        <f>IFERROR(_xlfn.XLOOKUP($B24,'Paste Here'!$A:$A,'Paste Here'!S:S),0)</f>
        <v>6.5000000000000002E-2</v>
      </c>
      <c r="U24" s="152">
        <f>IFERROR(_xlfn.XLOOKUP($B24,'Paste Here'!$A:$A,'Paste Here'!T:T),0)</f>
        <v>6.4999999999999988E-2</v>
      </c>
      <c r="V24" s="152">
        <f>IFERROR(_xlfn.XLOOKUP($B24,'Paste Here'!$A:$A,'Paste Here'!U:U),0)</f>
        <v>6.5000000000000002E-2</v>
      </c>
      <c r="W24" s="152">
        <f>IFERROR(_xlfn.XLOOKUP($B24,'Paste Here'!$A:$A,'Paste Here'!V:V),0)</f>
        <v>6.5000000000000002E-2</v>
      </c>
      <c r="X24" s="152">
        <f>IFERROR(_xlfn.XLOOKUP($B24,'Paste Here'!$A:$A,'Paste Here'!W:W),0)</f>
        <v>6.5000000000000002E-2</v>
      </c>
      <c r="Y24" s="152">
        <f>IFERROR(_xlfn.XLOOKUP($B24,'Paste Here'!$A:$A,'Paste Here'!X:X),0)</f>
        <v>6.4999999999999988E-2</v>
      </c>
      <c r="Z24" s="152">
        <f>IFERROR(_xlfn.XLOOKUP($B24,'Paste Here'!$A:$A,'Paste Here'!Y:Y),0)</f>
        <v>6.4999999999999988E-2</v>
      </c>
      <c r="AA24" s="152">
        <f>IFERROR(_xlfn.XLOOKUP($B24,'Paste Here'!$A:$A,'Paste Here'!Z:Z),0)</f>
        <v>6.5000000000000002E-2</v>
      </c>
      <c r="AB24" s="152">
        <f>IFERROR(_xlfn.XLOOKUP($B24,'Paste Here'!$A:$A,'Paste Here'!AA:AA),0)</f>
        <v>6.5000000000000002E-2</v>
      </c>
      <c r="AC24" s="152">
        <f>IFERROR(_xlfn.XLOOKUP($B24,'Paste Here'!$A:$A,'Paste Here'!AB:AB),0)</f>
        <v>6.5000000000000016E-2</v>
      </c>
      <c r="AD24" s="152">
        <f>IFERROR(_xlfn.XLOOKUP($B24,'Paste Here'!$A:$A,'Paste Here'!AC:AC),0)</f>
        <v>6.5000000000000016E-2</v>
      </c>
      <c r="AE24" s="152">
        <f>IFERROR(_xlfn.XLOOKUP($B24,'Paste Here'!$A:$A,'Paste Here'!AD:AD),0)</f>
        <v>6.5000000000000002E-2</v>
      </c>
      <c r="AF24" s="152">
        <f>IFERROR(_xlfn.XLOOKUP($B24,'Paste Here'!$A:$A,'Paste Here'!AE:AE),0)</f>
        <v>6.5000000000000016E-2</v>
      </c>
      <c r="AG24" s="152">
        <f>IFERROR(_xlfn.XLOOKUP($B24,'Paste Here'!$A:$A,'Paste Here'!AF:AF),0)</f>
        <v>6.5000000000000002E-2</v>
      </c>
      <c r="AH24" s="152">
        <f>IFERROR(_xlfn.XLOOKUP($B24,'Paste Here'!$A:$A,'Paste Here'!AG:AG),0)</f>
        <v>6.5000000000000016E-2</v>
      </c>
    </row>
    <row r="25" spans="1:34" x14ac:dyDescent="0.25">
      <c r="B25" s="85" t="s">
        <v>14</v>
      </c>
      <c r="C25" s="131">
        <f>IFERROR(_xlfn.XLOOKUP($B25,'Paste Here'!$A:$A,'Paste Here'!B:B),0)</f>
        <v>804.94500000000005</v>
      </c>
      <c r="D25" s="131">
        <f>IFERROR(_xlfn.XLOOKUP($B25,'Paste Here'!$A:$A,'Paste Here'!C:C),0)</f>
        <v>790.31799999999998</v>
      </c>
      <c r="E25" s="131">
        <f>IFERROR(_xlfn.XLOOKUP($B25,'Paste Here'!$A:$A,'Paste Here'!D:D),0)</f>
        <v>992.39599999999996</v>
      </c>
      <c r="F25" s="131">
        <f>IFERROR(_xlfn.XLOOKUP($B25,'Paste Here'!$A:$A,'Paste Here'!E:E),0)</f>
        <v>843.48599999999999</v>
      </c>
      <c r="G25" s="131">
        <f>IFERROR(_xlfn.XLOOKUP($B25,'Paste Here'!$A:$A,'Paste Here'!F:F),0)</f>
        <v>1085.9759999999999</v>
      </c>
      <c r="H25" s="131">
        <f>IFERROR(_xlfn.XLOOKUP($B25,'Paste Here'!$A:$A,'Paste Here'!G:G),0)</f>
        <v>790.77100000000007</v>
      </c>
      <c r="I25" s="140">
        <f>IFERROR(_xlfn.XLOOKUP($B25,'Paste Here'!$A:$A,'Paste Here'!H:H),0)</f>
        <v>1098.91275</v>
      </c>
      <c r="J25" s="140">
        <f>IFERROR(_xlfn.XLOOKUP($B25,'Paste Here'!$A:$A,'Paste Here'!I:I),0)</f>
        <v>915.66539999999986</v>
      </c>
      <c r="K25" s="140">
        <f>IFERROR(_xlfn.XLOOKUP($B25,'Paste Here'!$A:$A,'Paste Here'!J:J),0)</f>
        <v>858.11700000000019</v>
      </c>
      <c r="L25" s="140">
        <f>IFERROR(_xlfn.XLOOKUP($B25,'Paste Here'!$A:$A,'Paste Here'!K:K),0)</f>
        <v>864.03784999999982</v>
      </c>
      <c r="M25" s="140">
        <f>IFERROR(_xlfn.XLOOKUP($B25,'Paste Here'!$A:$A,'Paste Here'!L:L),0)</f>
        <v>855.14519999999993</v>
      </c>
      <c r="N25" s="140">
        <f>IFERROR(_xlfn.XLOOKUP($B25,'Paste Here'!$A:$A,'Paste Here'!M:M),0)</f>
        <v>850.18310000000008</v>
      </c>
      <c r="O25" s="140">
        <f>IFERROR(_xlfn.XLOOKUP($B25,'Paste Here'!$A:$A,'Paste Here'!N:N),0)</f>
        <v>923.54339999999991</v>
      </c>
      <c r="P25" s="140">
        <f>IFERROR(_xlfn.XLOOKUP($B25,'Paste Here'!$A:$A,'Paste Here'!O:O),0)</f>
        <v>899.24379999999996</v>
      </c>
      <c r="Q25" s="140">
        <f>IFERROR(_xlfn.XLOOKUP($B25,'Paste Here'!$A:$A,'Paste Here'!P:P),0)</f>
        <v>884.82355000000007</v>
      </c>
      <c r="R25" s="140">
        <f>IFERROR(_xlfn.XLOOKUP($B25,'Paste Here'!$A:$A,'Paste Here'!Q:Q),0)</f>
        <v>866.84715000000006</v>
      </c>
      <c r="S25" s="140">
        <f>IFERROR(_xlfn.XLOOKUP($B25,'Paste Here'!$A:$A,'Paste Here'!R:R),0)</f>
        <v>870.96424999999999</v>
      </c>
      <c r="T25" s="140">
        <f>IFERROR(_xlfn.XLOOKUP($B25,'Paste Here'!$A:$A,'Paste Here'!S:S),0)</f>
        <v>1008.384</v>
      </c>
      <c r="U25" s="140">
        <f>IFERROR(_xlfn.XLOOKUP($B25,'Paste Here'!$A:$A,'Paste Here'!T:T),0)</f>
        <v>870.64509999999996</v>
      </c>
      <c r="V25" s="140">
        <f>IFERROR(_xlfn.XLOOKUP($B25,'Paste Here'!$A:$A,'Paste Here'!U:U),0)</f>
        <v>712.56964999999991</v>
      </c>
      <c r="W25" s="140">
        <f>IFERROR(_xlfn.XLOOKUP($B25,'Paste Here'!$A:$A,'Paste Here'!V:V),0)</f>
        <v>658.93229999999994</v>
      </c>
      <c r="X25" s="140">
        <f>IFERROR(_xlfn.XLOOKUP($B25,'Paste Here'!$A:$A,'Paste Here'!W:W),0)</f>
        <v>765.24175000000014</v>
      </c>
      <c r="Y25" s="140">
        <f>IFERROR(_xlfn.XLOOKUP($B25,'Paste Here'!$A:$A,'Paste Here'!X:X),0)</f>
        <v>930.56795</v>
      </c>
      <c r="Z25" s="140">
        <f>IFERROR(_xlfn.XLOOKUP($B25,'Paste Here'!$A:$A,'Paste Here'!Y:Y),0)</f>
        <v>956.5172500000001</v>
      </c>
      <c r="AA25" s="140">
        <f>IFERROR(_xlfn.XLOOKUP($B25,'Paste Here'!$A:$A,'Paste Here'!Z:Z),0)</f>
        <v>915.99234999999999</v>
      </c>
      <c r="AB25" s="140">
        <f>IFERROR(_xlfn.XLOOKUP($B25,'Paste Here'!$A:$A,'Paste Here'!AA:AA),0)</f>
        <v>811.9657000000002</v>
      </c>
      <c r="AC25" s="140">
        <f>IFERROR(_xlfn.XLOOKUP($B25,'Paste Here'!$A:$A,'Paste Here'!AB:AB),0)</f>
        <v>821.54280000000017</v>
      </c>
      <c r="AD25" s="140">
        <f>IFERROR(_xlfn.XLOOKUP($B25,'Paste Here'!$A:$A,'Paste Here'!AC:AC),0)</f>
        <v>810.03650000000016</v>
      </c>
      <c r="AE25" s="140">
        <f>IFERROR(_xlfn.XLOOKUP($B25,'Paste Here'!$A:$A,'Paste Here'!AD:AD),0)</f>
        <v>820.62369999999999</v>
      </c>
      <c r="AF25" s="140">
        <f>IFERROR(_xlfn.XLOOKUP($B25,'Paste Here'!$A:$A,'Paste Here'!AE:AE),0)</f>
        <v>839.17600000000004</v>
      </c>
      <c r="AG25" s="140">
        <f>IFERROR(_xlfn.XLOOKUP($B25,'Paste Here'!$A:$A,'Paste Here'!AF:AF),0)</f>
        <v>1016.93085</v>
      </c>
      <c r="AH25" s="140">
        <f>IFERROR(_xlfn.XLOOKUP($B25,'Paste Here'!$A:$A,'Paste Here'!AG:AG),0)</f>
        <v>801.45000000000016</v>
      </c>
    </row>
    <row r="26" spans="1:34" x14ac:dyDescent="0.25">
      <c r="B26" s="85" t="s">
        <v>15</v>
      </c>
      <c r="C26" s="132">
        <f>IFERROR(_xlfn.XLOOKUP($B26,'Paste Here'!$A:$A,'Paste Here'!B:B),0)</f>
        <v>6.7793451726515475</v>
      </c>
      <c r="D26" s="132">
        <f>IFERROR(_xlfn.XLOOKUP($B26,'Paste Here'!$A:$A,'Paste Here'!C:C),0)</f>
        <v>6.5479971353303359</v>
      </c>
      <c r="E26" s="132">
        <f>IFERROR(_xlfn.XLOOKUP($B26,'Paste Here'!$A:$A,'Paste Here'!D:D),0)</f>
        <v>6.5225978339291979</v>
      </c>
      <c r="F26" s="132">
        <f>IFERROR(_xlfn.XLOOKUP($B26,'Paste Here'!$A:$A,'Paste Here'!E:E),0)</f>
        <v>6.0012851428476583</v>
      </c>
      <c r="G26" s="132">
        <f>IFERROR(_xlfn.XLOOKUP($B26,'Paste Here'!$A:$A,'Paste Here'!F:F),0)</f>
        <v>6.0903740045820536</v>
      </c>
      <c r="H26" s="132">
        <f>IFERROR(_xlfn.XLOOKUP($B26,'Paste Here'!$A:$A,'Paste Here'!G:G),0)</f>
        <v>6.441814381154594</v>
      </c>
      <c r="I26" s="141">
        <f>IFERROR(_xlfn.XLOOKUP($B26,'Paste Here'!$A:$A,'Paste Here'!H:H),0)</f>
        <v>6.4</v>
      </c>
      <c r="J26" s="141">
        <f>IFERROR(_xlfn.XLOOKUP($B26,'Paste Here'!$A:$A,'Paste Here'!I:I),0)</f>
        <v>6.4000000000000012</v>
      </c>
      <c r="K26" s="141">
        <f>IFERROR(_xlfn.XLOOKUP($B26,'Paste Here'!$A:$A,'Paste Here'!J:J),0)</f>
        <v>6.4000000000000012</v>
      </c>
      <c r="L26" s="141">
        <f>IFERROR(_xlfn.XLOOKUP($B26,'Paste Here'!$A:$A,'Paste Here'!K:K),0)</f>
        <v>6.4000000000000012</v>
      </c>
      <c r="M26" s="141">
        <f>IFERROR(_xlfn.XLOOKUP($B26,'Paste Here'!$A:$A,'Paste Here'!L:L),0)</f>
        <v>6.4000000000000012</v>
      </c>
      <c r="N26" s="141">
        <f>IFERROR(_xlfn.XLOOKUP($B26,'Paste Here'!$A:$A,'Paste Here'!M:M),0)</f>
        <v>6.3999999999999995</v>
      </c>
      <c r="O26" s="141">
        <f>IFERROR(_xlfn.XLOOKUP($B26,'Paste Here'!$A:$A,'Paste Here'!N:N),0)</f>
        <v>6.4</v>
      </c>
      <c r="P26" s="141">
        <f>IFERROR(_xlfn.XLOOKUP($B26,'Paste Here'!$A:$A,'Paste Here'!O:O),0)</f>
        <v>6.4000000000000012</v>
      </c>
      <c r="Q26" s="141">
        <f>IFERROR(_xlfn.XLOOKUP($B26,'Paste Here'!$A:$A,'Paste Here'!P:P),0)</f>
        <v>6.4</v>
      </c>
      <c r="R26" s="141">
        <f>IFERROR(_xlfn.XLOOKUP($B26,'Paste Here'!$A:$A,'Paste Here'!Q:Q),0)</f>
        <v>6.4</v>
      </c>
      <c r="S26" s="141">
        <f>IFERROR(_xlfn.XLOOKUP($B26,'Paste Here'!$A:$A,'Paste Here'!R:R),0)</f>
        <v>6.4000000000000012</v>
      </c>
      <c r="T26" s="141">
        <f>IFERROR(_xlfn.XLOOKUP($B26,'Paste Here'!$A:$A,'Paste Here'!S:S),0)</f>
        <v>6.3999999999999986</v>
      </c>
      <c r="U26" s="141">
        <f>IFERROR(_xlfn.XLOOKUP($B26,'Paste Here'!$A:$A,'Paste Here'!T:T),0)</f>
        <v>6.4000000000000012</v>
      </c>
      <c r="V26" s="141">
        <f>IFERROR(_xlfn.XLOOKUP($B26,'Paste Here'!$A:$A,'Paste Here'!U:U),0)</f>
        <v>6.4</v>
      </c>
      <c r="W26" s="141">
        <f>IFERROR(_xlfn.XLOOKUP($B26,'Paste Here'!$A:$A,'Paste Here'!V:V),0)</f>
        <v>6.4000000000000012</v>
      </c>
      <c r="X26" s="141">
        <f>IFERROR(_xlfn.XLOOKUP($B26,'Paste Here'!$A:$A,'Paste Here'!W:W),0)</f>
        <v>6.4</v>
      </c>
      <c r="Y26" s="141">
        <f>IFERROR(_xlfn.XLOOKUP($B26,'Paste Here'!$A:$A,'Paste Here'!X:X),0)</f>
        <v>6.3999999999999995</v>
      </c>
      <c r="Z26" s="141">
        <f>IFERROR(_xlfn.XLOOKUP($B26,'Paste Here'!$A:$A,'Paste Here'!Y:Y),0)</f>
        <v>6.3999999999999995</v>
      </c>
      <c r="AA26" s="141">
        <f>IFERROR(_xlfn.XLOOKUP($B26,'Paste Here'!$A:$A,'Paste Here'!Z:Z),0)</f>
        <v>6.4000000000000012</v>
      </c>
      <c r="AB26" s="141">
        <f>IFERROR(_xlfn.XLOOKUP($B26,'Paste Here'!$A:$A,'Paste Here'!AA:AA),0)</f>
        <v>6.4</v>
      </c>
      <c r="AC26" s="141">
        <f>IFERROR(_xlfn.XLOOKUP($B26,'Paste Here'!$A:$A,'Paste Here'!AB:AB),0)</f>
        <v>6.3999999999999995</v>
      </c>
      <c r="AD26" s="141">
        <f>IFERROR(_xlfn.XLOOKUP($B26,'Paste Here'!$A:$A,'Paste Here'!AC:AC),0)</f>
        <v>6.4</v>
      </c>
      <c r="AE26" s="141">
        <f>IFERROR(_xlfn.XLOOKUP($B26,'Paste Here'!$A:$A,'Paste Here'!AD:AD),0)</f>
        <v>6.4000000000000012</v>
      </c>
      <c r="AF26" s="141">
        <f>IFERROR(_xlfn.XLOOKUP($B26,'Paste Here'!$A:$A,'Paste Here'!AE:AE),0)</f>
        <v>6.4</v>
      </c>
      <c r="AG26" s="141">
        <f>IFERROR(_xlfn.XLOOKUP($B26,'Paste Here'!$A:$A,'Paste Here'!AF:AF),0)</f>
        <v>6.4</v>
      </c>
      <c r="AH26" s="141">
        <f>IFERROR(_xlfn.XLOOKUP($B26,'Paste Here'!$A:$A,'Paste Here'!AG:AG),0)</f>
        <v>6.3999999999999986</v>
      </c>
    </row>
    <row r="27" spans="1:34" x14ac:dyDescent="0.25">
      <c r="A27" s="7"/>
      <c r="B27" t="s">
        <v>16</v>
      </c>
      <c r="C27" s="132">
        <f>IFERROR(_xlfn.XLOOKUP($B27,'Paste Here'!$A:$A,'Paste Here'!B:B),0)</f>
        <v>1.2349012196410334</v>
      </c>
      <c r="D27" s="132">
        <f>IFERROR(_xlfn.XLOOKUP($B27,'Paste Here'!$A:$A,'Paste Here'!C:C),0)</f>
        <v>1.2801381947448007</v>
      </c>
      <c r="E27" s="132">
        <f>IFERROR(_xlfn.XLOOKUP($B27,'Paste Here'!$A:$A,'Paste Here'!D:D),0)</f>
        <v>1.2980655736948055</v>
      </c>
      <c r="F27" s="132">
        <f>IFERROR(_xlfn.XLOOKUP($B27,'Paste Here'!$A:$A,'Paste Here'!E:E),0)</f>
        <v>1.3016427878486614</v>
      </c>
      <c r="G27" s="132">
        <f>IFERROR(_xlfn.XLOOKUP($B27,'Paste Here'!$A:$A,'Paste Here'!F:F),0)</f>
        <v>1.2190541162861281</v>
      </c>
      <c r="H27" s="132">
        <f>IFERROR(_xlfn.XLOOKUP($B27,'Paste Here'!$A:$A,'Paste Here'!G:G),0)</f>
        <v>1.2002936515581573</v>
      </c>
      <c r="I27" s="142">
        <f>IFERROR(_xlfn.XLOOKUP($B27,'Paste Here'!$A:$A,'Paste Here'!H:H),0)</f>
        <v>1.26</v>
      </c>
      <c r="J27" s="142">
        <f>IFERROR(_xlfn.XLOOKUP($B27,'Paste Here'!$A:$A,'Paste Here'!I:I),0)</f>
        <v>1.26</v>
      </c>
      <c r="K27" s="142">
        <f>IFERROR(_xlfn.XLOOKUP($B27,'Paste Here'!$A:$A,'Paste Here'!J:J),0)</f>
        <v>1.26</v>
      </c>
      <c r="L27" s="142">
        <f>IFERROR(_xlfn.XLOOKUP($B27,'Paste Here'!$A:$A,'Paste Here'!K:K),0)</f>
        <v>1.2600000000000002</v>
      </c>
      <c r="M27" s="142">
        <f>IFERROR(_xlfn.XLOOKUP($B27,'Paste Here'!$A:$A,'Paste Here'!L:L),0)</f>
        <v>1.2599999999999998</v>
      </c>
      <c r="N27" s="142">
        <f>IFERROR(_xlfn.XLOOKUP($B27,'Paste Here'!$A:$A,'Paste Here'!M:M),0)</f>
        <v>1.26</v>
      </c>
      <c r="O27" s="142">
        <f>IFERROR(_xlfn.XLOOKUP($B27,'Paste Here'!$A:$A,'Paste Here'!N:N),0)</f>
        <v>1.2600000000000002</v>
      </c>
      <c r="P27" s="142">
        <f>IFERROR(_xlfn.XLOOKUP($B27,'Paste Here'!$A:$A,'Paste Here'!O:O),0)</f>
        <v>1.2599999999999998</v>
      </c>
      <c r="Q27" s="142">
        <f>IFERROR(_xlfn.XLOOKUP($B27,'Paste Here'!$A:$A,'Paste Here'!P:P),0)</f>
        <v>1.2599999999999998</v>
      </c>
      <c r="R27" s="142">
        <f>IFERROR(_xlfn.XLOOKUP($B27,'Paste Here'!$A:$A,'Paste Here'!Q:Q),0)</f>
        <v>1.26</v>
      </c>
      <c r="S27" s="142">
        <f>IFERROR(_xlfn.XLOOKUP($B27,'Paste Here'!$A:$A,'Paste Here'!R:R),0)</f>
        <v>1.26</v>
      </c>
      <c r="T27" s="142">
        <f>IFERROR(_xlfn.XLOOKUP($B27,'Paste Here'!$A:$A,'Paste Here'!S:S),0)</f>
        <v>1.26</v>
      </c>
      <c r="U27" s="142">
        <f>IFERROR(_xlfn.XLOOKUP($B27,'Paste Here'!$A:$A,'Paste Here'!T:T),0)</f>
        <v>1.26</v>
      </c>
      <c r="V27" s="142">
        <f>IFERROR(_xlfn.XLOOKUP($B27,'Paste Here'!$A:$A,'Paste Here'!U:U),0)</f>
        <v>1.2600000000000002</v>
      </c>
      <c r="W27" s="142">
        <f>IFERROR(_xlfn.XLOOKUP($B27,'Paste Here'!$A:$A,'Paste Here'!V:V),0)</f>
        <v>1.2600000000000002</v>
      </c>
      <c r="X27" s="142">
        <f>IFERROR(_xlfn.XLOOKUP($B27,'Paste Here'!$A:$A,'Paste Here'!W:W),0)</f>
        <v>1.26</v>
      </c>
      <c r="Y27" s="142">
        <f>IFERROR(_xlfn.XLOOKUP($B27,'Paste Here'!$A:$A,'Paste Here'!X:X),0)</f>
        <v>1.26</v>
      </c>
      <c r="Z27" s="142">
        <f>IFERROR(_xlfn.XLOOKUP($B27,'Paste Here'!$A:$A,'Paste Here'!Y:Y),0)</f>
        <v>1.2599999999999998</v>
      </c>
      <c r="AA27" s="142">
        <f>IFERROR(_xlfn.XLOOKUP($B27,'Paste Here'!$A:$A,'Paste Here'!Z:Z),0)</f>
        <v>1.2600000000000002</v>
      </c>
      <c r="AB27" s="142">
        <f>IFERROR(_xlfn.XLOOKUP($B27,'Paste Here'!$A:$A,'Paste Here'!AA:AA),0)</f>
        <v>1.2600000000000002</v>
      </c>
      <c r="AC27" s="142">
        <f>IFERROR(_xlfn.XLOOKUP($B27,'Paste Here'!$A:$A,'Paste Here'!AB:AB),0)</f>
        <v>1.26</v>
      </c>
      <c r="AD27" s="142">
        <f>IFERROR(_xlfn.XLOOKUP($B27,'Paste Here'!$A:$A,'Paste Here'!AC:AC),0)</f>
        <v>1.26</v>
      </c>
      <c r="AE27" s="142">
        <f>IFERROR(_xlfn.XLOOKUP($B27,'Paste Here'!$A:$A,'Paste Here'!AD:AD),0)</f>
        <v>1.2599999999999998</v>
      </c>
      <c r="AF27" s="142">
        <f>IFERROR(_xlfn.XLOOKUP($B27,'Paste Here'!$A:$A,'Paste Here'!AE:AE),0)</f>
        <v>1.26</v>
      </c>
      <c r="AG27" s="142">
        <f>IFERROR(_xlfn.XLOOKUP($B27,'Paste Here'!$A:$A,'Paste Here'!AF:AF),0)</f>
        <v>1.2600000000000002</v>
      </c>
      <c r="AH27" s="142">
        <f>IFERROR(_xlfn.XLOOKUP($B27,'Paste Here'!$A:$A,'Paste Here'!AG:AG),0)</f>
        <v>1.26</v>
      </c>
    </row>
    <row r="28" spans="1:34" x14ac:dyDescent="0.25">
      <c r="B28" t="s">
        <v>17</v>
      </c>
      <c r="C28" s="166">
        <f>IFERROR(_xlfn.XLOOKUP($B28,'Paste Here'!$A:$A,'Paste Here'!B:B),0)</f>
        <v>1.4547089690957355</v>
      </c>
      <c r="D28" s="166">
        <f>IFERROR(_xlfn.XLOOKUP($B28,'Paste Here'!$A:$A,'Paste Here'!C:C),0)</f>
        <v>1.4901621954780642</v>
      </c>
      <c r="E28" s="166">
        <f>IFERROR(_xlfn.XLOOKUP($B28,'Paste Here'!$A:$A,'Paste Here'!D:D),0)</f>
        <v>1.4904879522726175</v>
      </c>
      <c r="F28" s="166">
        <f>IFERROR(_xlfn.XLOOKUP($B28,'Paste Here'!$A:$A,'Paste Here'!E:E),0)</f>
        <v>1.4848732918185534</v>
      </c>
      <c r="G28" s="166">
        <f>IFERROR(_xlfn.XLOOKUP($B28,'Paste Here'!$A:$A,'Paste Here'!F:F),0)</f>
        <v>1.5097407796699986</v>
      </c>
      <c r="H28" s="166">
        <f>IFERROR(_xlfn.XLOOKUP($B28,'Paste Here'!$A:$A,'Paste Here'!G:G),0)</f>
        <v>1.5594611456875194</v>
      </c>
      <c r="I28" s="167">
        <f>IFERROR(_xlfn.XLOOKUP($B28,'Paste Here'!$A:$A,'Paste Here'!H:H),0)</f>
        <v>1.5</v>
      </c>
      <c r="J28" s="167">
        <f>IFERROR(_xlfn.XLOOKUP($B28,'Paste Here'!$A:$A,'Paste Here'!I:I),0)</f>
        <v>1.4999999999999998</v>
      </c>
      <c r="K28" s="167">
        <f>IFERROR(_xlfn.XLOOKUP($B28,'Paste Here'!$A:$A,'Paste Here'!J:J),0)</f>
        <v>1.5</v>
      </c>
      <c r="L28" s="167">
        <f>IFERROR(_xlfn.XLOOKUP($B28,'Paste Here'!$A:$A,'Paste Here'!K:K),0)</f>
        <v>1.5</v>
      </c>
      <c r="M28" s="167">
        <f>IFERROR(_xlfn.XLOOKUP($B28,'Paste Here'!$A:$A,'Paste Here'!L:L),0)</f>
        <v>1.5000000000000004</v>
      </c>
      <c r="N28" s="167">
        <f>IFERROR(_xlfn.XLOOKUP($B28,'Paste Here'!$A:$A,'Paste Here'!M:M),0)</f>
        <v>1.5000000000000004</v>
      </c>
      <c r="O28" s="167">
        <f>IFERROR(_xlfn.XLOOKUP($B28,'Paste Here'!$A:$A,'Paste Here'!N:N),0)</f>
        <v>1.4999999999999998</v>
      </c>
      <c r="P28" s="167">
        <f>IFERROR(_xlfn.XLOOKUP($B28,'Paste Here'!$A:$A,'Paste Here'!O:O),0)</f>
        <v>1.4999999999999996</v>
      </c>
      <c r="Q28" s="167">
        <f>IFERROR(_xlfn.XLOOKUP($B28,'Paste Here'!$A:$A,'Paste Here'!P:P),0)</f>
        <v>1.4999999999999998</v>
      </c>
      <c r="R28" s="167">
        <f>IFERROR(_xlfn.XLOOKUP($B28,'Paste Here'!$A:$A,'Paste Here'!Q:Q),0)</f>
        <v>1.5</v>
      </c>
      <c r="S28" s="167">
        <f>IFERROR(_xlfn.XLOOKUP($B28,'Paste Here'!$A:$A,'Paste Here'!R:R),0)</f>
        <v>1.5</v>
      </c>
      <c r="T28" s="167">
        <f>IFERROR(_xlfn.XLOOKUP($B28,'Paste Here'!$A:$A,'Paste Here'!S:S),0)</f>
        <v>1.4999999999999998</v>
      </c>
      <c r="U28" s="167">
        <f>IFERROR(_xlfn.XLOOKUP($B28,'Paste Here'!$A:$A,'Paste Here'!T:T),0)</f>
        <v>1.5</v>
      </c>
      <c r="V28" s="167">
        <f>IFERROR(_xlfn.XLOOKUP($B28,'Paste Here'!$A:$A,'Paste Here'!U:U),0)</f>
        <v>1.5000000000000002</v>
      </c>
      <c r="W28" s="167">
        <f>IFERROR(_xlfn.XLOOKUP($B28,'Paste Here'!$A:$A,'Paste Here'!V:V),0)</f>
        <v>1.4999999999999998</v>
      </c>
      <c r="X28" s="167">
        <f>IFERROR(_xlfn.XLOOKUP($B28,'Paste Here'!$A:$A,'Paste Here'!W:W),0)</f>
        <v>1.5</v>
      </c>
      <c r="Y28" s="167">
        <f>IFERROR(_xlfn.XLOOKUP($B28,'Paste Here'!$A:$A,'Paste Here'!X:X),0)</f>
        <v>1.4999999999999996</v>
      </c>
      <c r="Z28" s="167">
        <f>IFERROR(_xlfn.XLOOKUP($B28,'Paste Here'!$A:$A,'Paste Here'!Y:Y),0)</f>
        <v>1.4999999999999996</v>
      </c>
      <c r="AA28" s="167">
        <f>IFERROR(_xlfn.XLOOKUP($B28,'Paste Here'!$A:$A,'Paste Here'!Z:Z),0)</f>
        <v>1.4999999999999996</v>
      </c>
      <c r="AB28" s="167">
        <f>IFERROR(_xlfn.XLOOKUP($B28,'Paste Here'!$A:$A,'Paste Here'!AA:AA),0)</f>
        <v>1.5000000000000002</v>
      </c>
      <c r="AC28" s="167">
        <f>IFERROR(_xlfn.XLOOKUP($B28,'Paste Here'!$A:$A,'Paste Here'!AB:AB),0)</f>
        <v>1.5</v>
      </c>
      <c r="AD28" s="167">
        <f>IFERROR(_xlfn.XLOOKUP($B28,'Paste Here'!$A:$A,'Paste Here'!AC:AC),0)</f>
        <v>1.5</v>
      </c>
      <c r="AE28" s="167">
        <f>IFERROR(_xlfn.XLOOKUP($B28,'Paste Here'!$A:$A,'Paste Here'!AD:AD),0)</f>
        <v>1.4999999999999998</v>
      </c>
      <c r="AF28" s="167">
        <f>IFERROR(_xlfn.XLOOKUP($B28,'Paste Here'!$A:$A,'Paste Here'!AE:AE),0)</f>
        <v>1.5</v>
      </c>
      <c r="AG28" s="167">
        <f>IFERROR(_xlfn.XLOOKUP($B28,'Paste Here'!$A:$A,'Paste Here'!AF:AF),0)</f>
        <v>1.5000000000000002</v>
      </c>
      <c r="AH28" s="167">
        <f>IFERROR(_xlfn.XLOOKUP($B28,'Paste Here'!$A:$A,'Paste Here'!AG:AG),0)</f>
        <v>1.4999999999999996</v>
      </c>
    </row>
    <row r="29" spans="1:34" x14ac:dyDescent="0.25">
      <c r="A29" s="8" t="s">
        <v>43</v>
      </c>
      <c r="B29" t="s">
        <v>42</v>
      </c>
      <c r="C29" s="136">
        <f>IFERROR(_xlfn.XLOOKUP($B29,'Paste Here'!$A:$A,'Paste Here'!B:B),0)</f>
        <v>5457</v>
      </c>
      <c r="D29" s="136">
        <f>IFERROR(_xlfn.XLOOKUP($B29,'Paste Here'!$A:$A,'Paste Here'!C:C),0)</f>
        <v>5175</v>
      </c>
      <c r="E29" s="136">
        <f>IFERROR(_xlfn.XLOOKUP($B29,'Paste Here'!$A:$A,'Paste Here'!D:D),0)</f>
        <v>6473</v>
      </c>
      <c r="F29" s="136">
        <f>IFERROR(_xlfn.XLOOKUP($B29,'Paste Here'!$A:$A,'Paste Here'!E:E),0)</f>
        <v>5062</v>
      </c>
      <c r="G29" s="136">
        <f>IFERROR(_xlfn.XLOOKUP($B29,'Paste Here'!$A:$A,'Paste Here'!F:F),0)</f>
        <v>6614</v>
      </c>
      <c r="H29" s="136">
        <f>IFERROR(_xlfn.XLOOKUP($B29,'Paste Here'!$A:$A,'Paste Here'!G:G),0)</f>
        <v>5094</v>
      </c>
      <c r="I29" s="137">
        <f>IFERROR(_xlfn.XLOOKUP($B29,'Paste Here'!$A:$A,'Paste Here'!H:H),0)</f>
        <v>7033.0416000000005</v>
      </c>
      <c r="J29" s="137">
        <f>IFERROR(_xlfn.XLOOKUP($B29,'Paste Here'!$A:$A,'Paste Here'!I:I),0)</f>
        <v>5860.2585600000002</v>
      </c>
      <c r="K29" s="137">
        <f>IFERROR(_xlfn.XLOOKUP($B29,'Paste Here'!$A:$A,'Paste Here'!J:J),0)</f>
        <v>5491.9488000000019</v>
      </c>
      <c r="L29" s="137">
        <f>IFERROR(_xlfn.XLOOKUP($B29,'Paste Here'!$A:$A,'Paste Here'!K:K),0)</f>
        <v>5529.8422399999999</v>
      </c>
      <c r="M29" s="137">
        <f>IFERROR(_xlfn.XLOOKUP($B29,'Paste Here'!$A:$A,'Paste Here'!L:L),0)</f>
        <v>5472.9292800000003</v>
      </c>
      <c r="N29" s="137">
        <f>IFERROR(_xlfn.XLOOKUP($B29,'Paste Here'!$A:$A,'Paste Here'!M:M),0)</f>
        <v>5441.17184</v>
      </c>
      <c r="O29" s="137">
        <f>IFERROR(_xlfn.XLOOKUP($B29,'Paste Here'!$A:$A,'Paste Here'!N:N),0)</f>
        <v>5910.6777599999996</v>
      </c>
      <c r="P29" s="137">
        <f>IFERROR(_xlfn.XLOOKUP($B29,'Paste Here'!$A:$A,'Paste Here'!O:O),0)</f>
        <v>5755.1603200000009</v>
      </c>
      <c r="Q29" s="137">
        <f>IFERROR(_xlfn.XLOOKUP($B29,'Paste Here'!$A:$A,'Paste Here'!P:P),0)</f>
        <v>5662.8707200000008</v>
      </c>
      <c r="R29" s="137">
        <f>IFERROR(_xlfn.XLOOKUP($B29,'Paste Here'!$A:$A,'Paste Here'!Q:Q),0)</f>
        <v>5547.8217600000007</v>
      </c>
      <c r="S29" s="137">
        <f>IFERROR(_xlfn.XLOOKUP($B29,'Paste Here'!$A:$A,'Paste Here'!R:R),0)</f>
        <v>5574.1712000000007</v>
      </c>
      <c r="T29" s="137">
        <f>IFERROR(_xlfn.XLOOKUP($B29,'Paste Here'!$A:$A,'Paste Here'!S:S),0)</f>
        <v>6453.6575999999986</v>
      </c>
      <c r="U29" s="137">
        <f>IFERROR(_xlfn.XLOOKUP($B29,'Paste Here'!$A:$A,'Paste Here'!T:T),0)</f>
        <v>5572.1286400000008</v>
      </c>
      <c r="V29" s="137">
        <f>IFERROR(_xlfn.XLOOKUP($B29,'Paste Here'!$A:$A,'Paste Here'!U:U),0)</f>
        <v>4560.4457599999996</v>
      </c>
      <c r="W29" s="137">
        <f>IFERROR(_xlfn.XLOOKUP($B29,'Paste Here'!$A:$A,'Paste Here'!V:V),0)</f>
        <v>4217.1667200000002</v>
      </c>
      <c r="X29" s="137">
        <f>IFERROR(_xlfn.XLOOKUP($B29,'Paste Here'!$A:$A,'Paste Here'!W:W),0)</f>
        <v>4897.5472000000009</v>
      </c>
      <c r="Y29" s="137">
        <f>IFERROR(_xlfn.XLOOKUP($B29,'Paste Here'!$A:$A,'Paste Here'!X:X),0)</f>
        <v>5955.6348799999996</v>
      </c>
      <c r="Z29" s="137">
        <f>IFERROR(_xlfn.XLOOKUP($B29,'Paste Here'!$A:$A,'Paste Here'!Y:Y),0)</f>
        <v>6121.7103999999999</v>
      </c>
      <c r="AA29" s="137">
        <f>IFERROR(_xlfn.XLOOKUP($B29,'Paste Here'!$A:$A,'Paste Here'!Z:Z),0)</f>
        <v>5862.3510400000014</v>
      </c>
      <c r="AB29" s="137">
        <f>IFERROR(_xlfn.XLOOKUP($B29,'Paste Here'!$A:$A,'Paste Here'!AA:AA),0)</f>
        <v>5196.5804800000014</v>
      </c>
      <c r="AC29" s="137">
        <f>IFERROR(_xlfn.XLOOKUP($B29,'Paste Here'!$A:$A,'Paste Here'!AB:AB),0)</f>
        <v>5257.8739200000009</v>
      </c>
      <c r="AD29" s="137">
        <f>IFERROR(_xlfn.XLOOKUP($B29,'Paste Here'!$A:$A,'Paste Here'!AC:AC),0)</f>
        <v>5184.2336000000014</v>
      </c>
      <c r="AE29" s="137">
        <f>IFERROR(_xlfn.XLOOKUP($B29,'Paste Here'!$A:$A,'Paste Here'!AD:AD),0)</f>
        <v>5251.991680000001</v>
      </c>
      <c r="AF29" s="137">
        <f>IFERROR(_xlfn.XLOOKUP($B29,'Paste Here'!$A:$A,'Paste Here'!AE:AE),0)</f>
        <v>5370.7264000000005</v>
      </c>
      <c r="AG29" s="137">
        <f>IFERROR(_xlfn.XLOOKUP($B29,'Paste Here'!$A:$A,'Paste Here'!AF:AF),0)</f>
        <v>6508.3574399999998</v>
      </c>
      <c r="AH29" s="137">
        <f>IFERROR(_xlfn.XLOOKUP($B29,'Paste Here'!$A:$A,'Paste Here'!AG:AG),0)</f>
        <v>5129.28</v>
      </c>
    </row>
    <row r="30" spans="1:34" x14ac:dyDescent="0.25">
      <c r="B30" t="s">
        <v>67</v>
      </c>
      <c r="C30" s="136">
        <f>IFERROR(_xlfn.XLOOKUP($B30,'Paste Here'!$A:$A,'Paste Here'!B:B),0)</f>
        <v>8416</v>
      </c>
      <c r="D30" s="136">
        <f>IFERROR(_xlfn.XLOOKUP($B30,'Paste Here'!$A:$A,'Paste Here'!C:C),0)</f>
        <v>9785</v>
      </c>
      <c r="E30" s="136">
        <f>IFERROR(_xlfn.XLOOKUP($B30,'Paste Here'!$A:$A,'Paste Here'!D:D),0)</f>
        <v>10684</v>
      </c>
      <c r="F30" s="136">
        <f>IFERROR(_xlfn.XLOOKUP($B30,'Paste Here'!$A:$A,'Paste Here'!E:E),0)</f>
        <v>9741</v>
      </c>
      <c r="G30" s="136">
        <f>IFERROR(_xlfn.XLOOKUP($B30,'Paste Here'!$A:$A,'Paste Here'!F:F),0)</f>
        <v>9535</v>
      </c>
      <c r="H30" s="136">
        <f>IFERROR(_xlfn.XLOOKUP($B30,'Paste Here'!$A:$A,'Paste Here'!G:G),0)</f>
        <v>9308</v>
      </c>
      <c r="I30" s="137">
        <f>IFERROR(_xlfn.XLOOKUP($B30,'Paste Here'!$A:$A,'Paste Here'!H:H),0)</f>
        <v>14087.804219999998</v>
      </c>
      <c r="J30" s="137">
        <f>IFERROR(_xlfn.XLOOKUP($B30,'Paste Here'!$A:$A,'Paste Here'!I:I),0)</f>
        <v>10548.48438</v>
      </c>
      <c r="K30" s="137">
        <f>IFERROR(_xlfn.XLOOKUP($B30,'Paste Here'!$A:$A,'Paste Here'!J:J),0)</f>
        <v>12748.183560000001</v>
      </c>
      <c r="L30" s="137">
        <f>IFERROR(_xlfn.XLOOKUP($B30,'Paste Here'!$A:$A,'Paste Here'!K:K),0)</f>
        <v>10923.99336</v>
      </c>
      <c r="M30" s="137">
        <f>IFERROR(_xlfn.XLOOKUP($B30,'Paste Here'!$A:$A,'Paste Here'!L:L),0)</f>
        <v>10407.670559999999</v>
      </c>
      <c r="N30" s="137">
        <f>IFERROR(_xlfn.XLOOKUP($B30,'Paste Here'!$A:$A,'Paste Here'!M:M),0)</f>
        <v>11986.9218</v>
      </c>
      <c r="O30" s="137">
        <f>IFERROR(_xlfn.XLOOKUP($B30,'Paste Here'!$A:$A,'Paste Here'!N:N),0)</f>
        <v>12768.6384</v>
      </c>
      <c r="P30" s="137">
        <f>IFERROR(_xlfn.XLOOKUP($B30,'Paste Here'!$A:$A,'Paste Here'!O:O),0)</f>
        <v>12024.81</v>
      </c>
      <c r="Q30" s="137">
        <f>IFERROR(_xlfn.XLOOKUP($B30,'Paste Here'!$A:$A,'Paste Here'!P:P),0)</f>
        <v>12341.699999999999</v>
      </c>
      <c r="R30" s="137">
        <f>IFERROR(_xlfn.XLOOKUP($B30,'Paste Here'!$A:$A,'Paste Here'!Q:Q),0)</f>
        <v>12305.941199999999</v>
      </c>
      <c r="S30" s="137">
        <f>IFERROR(_xlfn.XLOOKUP($B30,'Paste Here'!$A:$A,'Paste Here'!R:R),0)</f>
        <v>11795.275799999999</v>
      </c>
      <c r="T30" s="137">
        <f>IFERROR(_xlfn.XLOOKUP($B30,'Paste Here'!$A:$A,'Paste Here'!S:S),0)</f>
        <v>11968.992000000002</v>
      </c>
      <c r="U30" s="137">
        <f>IFERROR(_xlfn.XLOOKUP($B30,'Paste Here'!$A:$A,'Paste Here'!T:T),0)</f>
        <v>11355.497999999998</v>
      </c>
      <c r="V30" s="137">
        <f>IFERROR(_xlfn.XLOOKUP($B30,'Paste Here'!$A:$A,'Paste Here'!U:U),0)</f>
        <v>9815.3118000000013</v>
      </c>
      <c r="W30" s="137">
        <f>IFERROR(_xlfn.XLOOKUP($B30,'Paste Here'!$A:$A,'Paste Here'!V:V),0)</f>
        <v>9938.8170000000009</v>
      </c>
      <c r="X30" s="137">
        <f>IFERROR(_xlfn.XLOOKUP($B30,'Paste Here'!$A:$A,'Paste Here'!W:W),0)</f>
        <v>11679.834600000002</v>
      </c>
      <c r="Y30" s="137">
        <f>IFERROR(_xlfn.XLOOKUP($B30,'Paste Here'!$A:$A,'Paste Here'!X:X),0)</f>
        <v>11615.234399999999</v>
      </c>
      <c r="Z30" s="137">
        <f>IFERROR(_xlfn.XLOOKUP($B30,'Paste Here'!$A:$A,'Paste Here'!Y:Y),0)</f>
        <v>11483.526599999997</v>
      </c>
      <c r="AA30" s="137">
        <f>IFERROR(_xlfn.XLOOKUP($B30,'Paste Here'!$A:$A,'Paste Here'!Z:Z),0)</f>
        <v>7104.4596000000001</v>
      </c>
      <c r="AB30" s="137">
        <f>IFERROR(_xlfn.XLOOKUP($B30,'Paste Here'!$A:$A,'Paste Here'!AA:AA),0)</f>
        <v>8568.4410000000007</v>
      </c>
      <c r="AC30" s="137">
        <f>IFERROR(_xlfn.XLOOKUP($B30,'Paste Here'!$A:$A,'Paste Here'!AB:AB),0)</f>
        <v>10220.036399999999</v>
      </c>
      <c r="AD30" s="137">
        <f>IFERROR(_xlfn.XLOOKUP($B30,'Paste Here'!$A:$A,'Paste Here'!AC:AC),0)</f>
        <v>10665.219600000002</v>
      </c>
      <c r="AE30" s="137">
        <f>IFERROR(_xlfn.XLOOKUP($B30,'Paste Here'!$A:$A,'Paste Here'!AD:AD),0)</f>
        <v>10886.614199999998</v>
      </c>
      <c r="AF30" s="137">
        <f>IFERROR(_xlfn.XLOOKUP($B30,'Paste Here'!$A:$A,'Paste Here'!AE:AE),0)</f>
        <v>11025.655199999999</v>
      </c>
      <c r="AG30" s="137">
        <f>IFERROR(_xlfn.XLOOKUP($B30,'Paste Here'!$A:$A,'Paste Here'!AF:AF),0)</f>
        <v>11839.123800000001</v>
      </c>
      <c r="AH30" s="137">
        <f>IFERROR(_xlfn.XLOOKUP($B30,'Paste Here'!$A:$A,'Paste Here'!AG:AG),0)</f>
        <v>10344.587400000002</v>
      </c>
    </row>
    <row r="31" spans="1:34" x14ac:dyDescent="0.25">
      <c r="B31" t="s">
        <v>18</v>
      </c>
      <c r="C31" s="130">
        <f>IFERROR(_xlfn.XLOOKUP($B31,'Paste Here'!$A:$A,'Paste Here'!B:B),0)</f>
        <v>19100</v>
      </c>
      <c r="D31" s="130">
        <f>IFERROR(_xlfn.XLOOKUP($B31,'Paste Here'!$A:$A,'Paste Here'!C:C),0)</f>
        <v>19458</v>
      </c>
      <c r="E31" s="130">
        <f>IFERROR(_xlfn.XLOOKUP($B31,'Paste Here'!$A:$A,'Paste Here'!D:D),0)</f>
        <v>16515</v>
      </c>
      <c r="F31" s="130">
        <f>IFERROR(_xlfn.XLOOKUP($B31,'Paste Here'!$A:$A,'Paste Here'!E:E),0)</f>
        <v>18202</v>
      </c>
      <c r="G31" s="130">
        <f>IFERROR(_xlfn.XLOOKUP($B31,'Paste Here'!$A:$A,'Paste Here'!F:F),0)</f>
        <v>20741</v>
      </c>
      <c r="H31" s="130">
        <f>IFERROR(_xlfn.XLOOKUP($B31,'Paste Here'!$A:$A,'Paste Here'!G:G),0)</f>
        <v>20806</v>
      </c>
      <c r="I31" s="135">
        <f>IFERROR(_xlfn.XLOOKUP($B31,'Paste Here'!$A:$A,'Paste Here'!H:H),0)</f>
        <v>23711.155875000004</v>
      </c>
      <c r="J31" s="135">
        <f>IFERROR(_xlfn.XLOOKUP($B31,'Paste Here'!$A:$A,'Paste Here'!I:I),0)</f>
        <v>19757.241900000001</v>
      </c>
      <c r="K31" s="135">
        <f>IFERROR(_xlfn.XLOOKUP($B31,'Paste Here'!$A:$A,'Paste Here'!J:J),0)</f>
        <v>18515.524500000003</v>
      </c>
      <c r="L31" s="135">
        <f>IFERROR(_xlfn.XLOOKUP($B31,'Paste Here'!$A:$A,'Paste Here'!K:K),0)</f>
        <v>18643.278224999995</v>
      </c>
      <c r="M31" s="135">
        <f>IFERROR(_xlfn.XLOOKUP($B31,'Paste Here'!$A:$A,'Paste Here'!L:L),0)</f>
        <v>18451.4022</v>
      </c>
      <c r="N31" s="135">
        <f>IFERROR(_xlfn.XLOOKUP($B31,'Paste Here'!$A:$A,'Paste Here'!M:M),0)</f>
        <v>18344.335350000001</v>
      </c>
      <c r="O31" s="135">
        <f>IFERROR(_xlfn.XLOOKUP($B31,'Paste Here'!$A:$A,'Paste Here'!N:N),0)</f>
        <v>19927.224899999997</v>
      </c>
      <c r="P31" s="135">
        <f>IFERROR(_xlfn.XLOOKUP($B31,'Paste Here'!$A:$A,'Paste Here'!O:O),0)</f>
        <v>19402.914299999997</v>
      </c>
      <c r="Q31" s="135">
        <f>IFERROR(_xlfn.XLOOKUP($B31,'Paste Here'!$A:$A,'Paste Here'!P:P),0)</f>
        <v>19091.769675</v>
      </c>
      <c r="R31" s="135">
        <f>IFERROR(_xlfn.XLOOKUP($B31,'Paste Here'!$A:$A,'Paste Here'!Q:Q),0)</f>
        <v>18703.894275000002</v>
      </c>
      <c r="S31" s="135">
        <f>IFERROR(_xlfn.XLOOKUP($B31,'Paste Here'!$A:$A,'Paste Here'!R:R),0)</f>
        <v>18792.728625</v>
      </c>
      <c r="T31" s="135">
        <f>IFERROR(_xlfn.XLOOKUP($B31,'Paste Here'!$A:$A,'Paste Here'!S:S),0)</f>
        <v>21757.823999999997</v>
      </c>
      <c r="U31" s="135">
        <f>IFERROR(_xlfn.XLOOKUP($B31,'Paste Here'!$A:$A,'Paste Here'!T:T),0)</f>
        <v>18785.842350000003</v>
      </c>
      <c r="V31" s="135">
        <f>IFERROR(_xlfn.XLOOKUP($B31,'Paste Here'!$A:$A,'Paste Here'!U:U),0)</f>
        <v>15375.060525000001</v>
      </c>
      <c r="W31" s="135">
        <f>IFERROR(_xlfn.XLOOKUP($B31,'Paste Here'!$A:$A,'Paste Here'!V:V),0)</f>
        <v>14217.731549999997</v>
      </c>
      <c r="X31" s="135">
        <f>IFERROR(_xlfn.XLOOKUP($B31,'Paste Here'!$A:$A,'Paste Here'!W:W),0)</f>
        <v>16511.562375000001</v>
      </c>
      <c r="Y31" s="135">
        <f>IFERROR(_xlfn.XLOOKUP($B31,'Paste Here'!$A:$A,'Paste Here'!X:X),0)</f>
        <v>20078.793074999998</v>
      </c>
      <c r="Z31" s="135">
        <f>IFERROR(_xlfn.XLOOKUP($B31,'Paste Here'!$A:$A,'Paste Here'!Y:Y),0)</f>
        <v>20638.699124999999</v>
      </c>
      <c r="AA31" s="135">
        <f>IFERROR(_xlfn.XLOOKUP($B31,'Paste Here'!$A:$A,'Paste Here'!Z:Z),0)</f>
        <v>19764.296474999996</v>
      </c>
      <c r="AB31" s="135">
        <f>IFERROR(_xlfn.XLOOKUP($B31,'Paste Here'!$A:$A,'Paste Here'!AA:AA),0)</f>
        <v>17519.721450000005</v>
      </c>
      <c r="AC31" s="135">
        <f>IFERROR(_xlfn.XLOOKUP($B31,'Paste Here'!$A:$A,'Paste Here'!AB:AB),0)</f>
        <v>17726.365800000003</v>
      </c>
      <c r="AD31" s="135">
        <f>IFERROR(_xlfn.XLOOKUP($B31,'Paste Here'!$A:$A,'Paste Here'!AC:AC),0)</f>
        <v>17478.095250000002</v>
      </c>
      <c r="AE31" s="135">
        <f>IFERROR(_xlfn.XLOOKUP($B31,'Paste Here'!$A:$A,'Paste Here'!AD:AD),0)</f>
        <v>17706.534449999999</v>
      </c>
      <c r="AF31" s="135">
        <f>IFERROR(_xlfn.XLOOKUP($B31,'Paste Here'!$A:$A,'Paste Here'!AE:AE),0)</f>
        <v>18106.835999999999</v>
      </c>
      <c r="AG31" s="135">
        <f>IFERROR(_xlfn.XLOOKUP($B31,'Paste Here'!$A:$A,'Paste Here'!AF:AF),0)</f>
        <v>21942.238724999999</v>
      </c>
      <c r="AH31" s="135">
        <f>IFERROR(_xlfn.XLOOKUP($B31,'Paste Here'!$A:$A,'Paste Here'!AG:AG),0)</f>
        <v>17292.824999999997</v>
      </c>
    </row>
    <row r="32" spans="1:34" x14ac:dyDescent="0.25">
      <c r="B32" t="s">
        <v>19</v>
      </c>
      <c r="C32" s="130">
        <f>IFERROR(_xlfn.XLOOKUP($B32,'Paste Here'!$A:$A,'Paste Here'!B:B),0)</f>
        <v>32973</v>
      </c>
      <c r="D32" s="130">
        <f>IFERROR(_xlfn.XLOOKUP($B32,'Paste Here'!$A:$A,'Paste Here'!C:C),0)</f>
        <v>34418</v>
      </c>
      <c r="E32" s="130">
        <f>IFERROR(_xlfn.XLOOKUP($B32,'Paste Here'!$A:$A,'Paste Here'!D:D),0)</f>
        <v>33672</v>
      </c>
      <c r="F32" s="130">
        <f>IFERROR(_xlfn.XLOOKUP($B32,'Paste Here'!$A:$A,'Paste Here'!E:E),0)</f>
        <v>33005</v>
      </c>
      <c r="G32" s="130">
        <f>IFERROR(_xlfn.XLOOKUP($B32,'Paste Here'!$A:$A,'Paste Here'!F:F),0)</f>
        <v>36890</v>
      </c>
      <c r="H32" s="130">
        <f>IFERROR(_xlfn.XLOOKUP($B32,'Paste Here'!$A:$A,'Paste Here'!G:G),0)</f>
        <v>35208</v>
      </c>
      <c r="I32" s="135">
        <f>IFERROR(_xlfn.XLOOKUP($B32,'Paste Here'!$A:$A,'Paste Here'!H:H),0)</f>
        <v>44832.001694999999</v>
      </c>
      <c r="J32" s="135">
        <f>IFERROR(_xlfn.XLOOKUP($B32,'Paste Here'!$A:$A,'Paste Here'!I:I),0)</f>
        <v>36165.984839999997</v>
      </c>
      <c r="K32" s="135">
        <f>IFERROR(_xlfn.XLOOKUP($B32,'Paste Here'!$A:$A,'Paste Here'!J:J),0)</f>
        <v>36755.656860000003</v>
      </c>
      <c r="L32" s="135">
        <f>IFERROR(_xlfn.XLOOKUP($B32,'Paste Here'!$A:$A,'Paste Here'!K:K),0)</f>
        <v>35097.113824999993</v>
      </c>
      <c r="M32" s="135">
        <f>IFERROR(_xlfn.XLOOKUP($B32,'Paste Here'!$A:$A,'Paste Here'!L:L),0)</f>
        <v>34332.002039999999</v>
      </c>
      <c r="N32" s="135">
        <f>IFERROR(_xlfn.XLOOKUP($B32,'Paste Here'!$A:$A,'Paste Here'!M:M),0)</f>
        <v>35772.42899</v>
      </c>
      <c r="O32" s="135">
        <f>IFERROR(_xlfn.XLOOKUP($B32,'Paste Here'!$A:$A,'Paste Here'!N:N),0)</f>
        <v>38606.541059999996</v>
      </c>
      <c r="P32" s="135">
        <f>IFERROR(_xlfn.XLOOKUP($B32,'Paste Here'!$A:$A,'Paste Here'!O:O),0)</f>
        <v>37182.884620000004</v>
      </c>
      <c r="Q32" s="135">
        <f>IFERROR(_xlfn.XLOOKUP($B32,'Paste Here'!$A:$A,'Paste Here'!P:P),0)</f>
        <v>37096.340394999992</v>
      </c>
      <c r="R32" s="135">
        <f>IFERROR(_xlfn.XLOOKUP($B32,'Paste Here'!$A:$A,'Paste Here'!Q:Q),0)</f>
        <v>36557.657235000006</v>
      </c>
      <c r="S32" s="135">
        <f>IFERROR(_xlfn.XLOOKUP($B32,'Paste Here'!$A:$A,'Paste Here'!R:R),0)</f>
        <v>36162.175625000003</v>
      </c>
      <c r="T32" s="135">
        <f>IFERROR(_xlfn.XLOOKUP($B32,'Paste Here'!$A:$A,'Paste Here'!S:S),0)</f>
        <v>40180.47359999999</v>
      </c>
      <c r="U32" s="135">
        <f>IFERROR(_xlfn.XLOOKUP($B32,'Paste Here'!$A:$A,'Paste Here'!T:T),0)</f>
        <v>35713.468990000008</v>
      </c>
      <c r="V32" s="135">
        <f>IFERROR(_xlfn.XLOOKUP($B32,'Paste Here'!$A:$A,'Paste Here'!U:U),0)</f>
        <v>29750.818084999999</v>
      </c>
      <c r="W32" s="135">
        <f>IFERROR(_xlfn.XLOOKUP($B32,'Paste Here'!$A:$A,'Paste Here'!V:V),0)</f>
        <v>28373.715269999997</v>
      </c>
      <c r="X32" s="135">
        <f>IFERROR(_xlfn.XLOOKUP($B32,'Paste Here'!$A:$A,'Paste Here'!W:W),0)</f>
        <v>33088.944175000004</v>
      </c>
      <c r="Y32" s="135">
        <f>IFERROR(_xlfn.XLOOKUP($B32,'Paste Here'!$A:$A,'Paste Here'!X:X),0)</f>
        <v>37649.662355</v>
      </c>
      <c r="Z32" s="135">
        <f>IFERROR(_xlfn.XLOOKUP($B32,'Paste Here'!$A:$A,'Paste Here'!Y:Y),0)</f>
        <v>38243.936125</v>
      </c>
      <c r="AA32" s="135">
        <f>IFERROR(_xlfn.XLOOKUP($B32,'Paste Here'!$A:$A,'Paste Here'!Z:Z),0)</f>
        <v>32731.107115000003</v>
      </c>
      <c r="AB32" s="135">
        <f>IFERROR(_xlfn.XLOOKUP($B32,'Paste Here'!$A:$A,'Paste Here'!AA:AA),0)</f>
        <v>31284.742930000004</v>
      </c>
      <c r="AC32" s="135">
        <f>IFERROR(_xlfn.XLOOKUP($B32,'Paste Here'!$A:$A,'Paste Here'!AB:AB),0)</f>
        <v>33204.276120000002</v>
      </c>
      <c r="AD32" s="135">
        <f>IFERROR(_xlfn.XLOOKUP($B32,'Paste Here'!$A:$A,'Paste Here'!AC:AC),0)</f>
        <v>33327.548450000002</v>
      </c>
      <c r="AE32" s="135">
        <f>IFERROR(_xlfn.XLOOKUP($B32,'Paste Here'!$A:$A,'Paste Here'!AD:AD),0)</f>
        <v>33845.140330000002</v>
      </c>
      <c r="AF32" s="135">
        <f>IFERROR(_xlfn.XLOOKUP($B32,'Paste Here'!$A:$A,'Paste Here'!AE:AE),0)</f>
        <v>34503.217600000004</v>
      </c>
      <c r="AG32" s="135">
        <f>IFERROR(_xlfn.XLOOKUP($B32,'Paste Here'!$A:$A,'Paste Here'!AF:AF),0)</f>
        <v>40289.719965000004</v>
      </c>
      <c r="AH32" s="135">
        <f>IFERROR(_xlfn.XLOOKUP($B32,'Paste Here'!$A:$A,'Paste Here'!AG:AG),0)</f>
        <v>32766.692399999996</v>
      </c>
    </row>
    <row r="33" spans="1:34" s="7" customFormat="1" x14ac:dyDescent="0.25">
      <c r="A33" s="145" t="s">
        <v>44</v>
      </c>
      <c r="B33" s="7" t="s">
        <v>6</v>
      </c>
      <c r="C33" s="144">
        <f>IFERROR(_xlfn.XLOOKUP($B33,'Paste Here'!$A:$A,'Paste Here'!B:B),0)</f>
        <v>0</v>
      </c>
      <c r="D33" s="144">
        <f>IFERROR(_xlfn.XLOOKUP($B33,'Paste Here'!$A:$A,'Paste Here'!C:C),0)</f>
        <v>0</v>
      </c>
      <c r="E33" s="144">
        <f>IFERROR(_xlfn.XLOOKUP($B33,'Paste Here'!$A:$A,'Paste Here'!D:D),0)</f>
        <v>0</v>
      </c>
      <c r="F33" s="144">
        <f>IFERROR(_xlfn.XLOOKUP($B33,'Paste Here'!$A:$A,'Paste Here'!E:E),0)</f>
        <v>0</v>
      </c>
      <c r="G33" s="144">
        <f>IFERROR(_xlfn.XLOOKUP($B33,'Paste Here'!$A:$A,'Paste Here'!F:F),0)</f>
        <v>0</v>
      </c>
      <c r="H33" s="144">
        <f>IFERROR(_xlfn.XLOOKUP($B33,'Paste Here'!$A:$A,'Paste Here'!G:G),0)</f>
        <v>0</v>
      </c>
      <c r="I33" s="144">
        <f>IFERROR(_xlfn.XLOOKUP($B33,'Paste Here'!$A:$A,'Paste Here'!H:H),0)</f>
        <v>0</v>
      </c>
      <c r="J33" s="144">
        <f>IFERROR(_xlfn.XLOOKUP($B33,'Paste Here'!$A:$A,'Paste Here'!I:I),0)</f>
        <v>0</v>
      </c>
      <c r="K33" s="144">
        <f>IFERROR(_xlfn.XLOOKUP($B33,'Paste Here'!$A:$A,'Paste Here'!J:J),0)</f>
        <v>0</v>
      </c>
      <c r="L33" s="144">
        <f>IFERROR(_xlfn.XLOOKUP($B33,'Paste Here'!$A:$A,'Paste Here'!K:K),0)</f>
        <v>0</v>
      </c>
      <c r="M33" s="144">
        <f>IFERROR(_xlfn.XLOOKUP($B33,'Paste Here'!$A:$A,'Paste Here'!L:L),0)</f>
        <v>0</v>
      </c>
      <c r="N33" s="144">
        <f>IFERROR(_xlfn.XLOOKUP($B33,'Paste Here'!$A:$A,'Paste Here'!M:M),0)</f>
        <v>0</v>
      </c>
      <c r="O33" s="144">
        <f>IFERROR(_xlfn.XLOOKUP($B33,'Paste Here'!$A:$A,'Paste Here'!N:N),0)</f>
        <v>0</v>
      </c>
      <c r="P33" s="144">
        <f>IFERROR(_xlfn.XLOOKUP($B33,'Paste Here'!$A:$A,'Paste Here'!O:O),0)</f>
        <v>0</v>
      </c>
      <c r="Q33" s="144">
        <f>IFERROR(_xlfn.XLOOKUP($B33,'Paste Here'!$A:$A,'Paste Here'!P:P),0)</f>
        <v>0</v>
      </c>
      <c r="R33" s="144">
        <f>IFERROR(_xlfn.XLOOKUP($B33,'Paste Here'!$A:$A,'Paste Here'!Q:Q),0)</f>
        <v>0</v>
      </c>
      <c r="S33" s="144">
        <f>IFERROR(_xlfn.XLOOKUP($B33,'Paste Here'!$A:$A,'Paste Here'!R:R),0)</f>
        <v>0</v>
      </c>
      <c r="T33" s="144">
        <f>IFERROR(_xlfn.XLOOKUP($B33,'Paste Here'!$A:$A,'Paste Here'!S:S),0)</f>
        <v>0</v>
      </c>
      <c r="U33" s="144">
        <f>IFERROR(_xlfn.XLOOKUP($B33,'Paste Here'!$A:$A,'Paste Here'!T:T),0)</f>
        <v>0</v>
      </c>
      <c r="V33" s="144">
        <f>IFERROR(_xlfn.XLOOKUP($B33,'Paste Here'!$A:$A,'Paste Here'!U:U),0)</f>
        <v>0</v>
      </c>
      <c r="W33" s="144">
        <f>IFERROR(_xlfn.XLOOKUP($B33,'Paste Here'!$A:$A,'Paste Here'!V:V),0)</f>
        <v>0</v>
      </c>
      <c r="X33" s="144">
        <f>IFERROR(_xlfn.XLOOKUP($B33,'Paste Here'!$A:$A,'Paste Here'!W:W),0)</f>
        <v>0</v>
      </c>
      <c r="Y33" s="144">
        <f>IFERROR(_xlfn.XLOOKUP($B33,'Paste Here'!$A:$A,'Paste Here'!X:X),0)</f>
        <v>0</v>
      </c>
      <c r="Z33" s="144">
        <f>IFERROR(_xlfn.XLOOKUP($B33,'Paste Here'!$A:$A,'Paste Here'!Y:Y),0)</f>
        <v>0</v>
      </c>
      <c r="AA33" s="144">
        <f>IFERROR(_xlfn.XLOOKUP($B33,'Paste Here'!$A:$A,'Paste Here'!Z:Z),0)</f>
        <v>0</v>
      </c>
      <c r="AB33" s="144">
        <f>IFERROR(_xlfn.XLOOKUP($B33,'Paste Here'!$A:$A,'Paste Here'!AA:AA),0)</f>
        <v>0</v>
      </c>
      <c r="AC33" s="144">
        <f>IFERROR(_xlfn.XLOOKUP($B33,'Paste Here'!$A:$A,'Paste Here'!AB:AB),0)</f>
        <v>0</v>
      </c>
      <c r="AD33" s="144">
        <f>IFERROR(_xlfn.XLOOKUP($B33,'Paste Here'!$A:$A,'Paste Here'!AC:AC),0)</f>
        <v>0</v>
      </c>
      <c r="AE33" s="144">
        <f>IFERROR(_xlfn.XLOOKUP($B33,'Paste Here'!$A:$A,'Paste Here'!AD:AD),0)</f>
        <v>0</v>
      </c>
      <c r="AF33" s="144">
        <f>IFERROR(_xlfn.XLOOKUP($B33,'Paste Here'!$A:$A,'Paste Here'!AE:AE),0)</f>
        <v>0</v>
      </c>
      <c r="AG33" s="144">
        <f>IFERROR(_xlfn.XLOOKUP($B33,'Paste Here'!$A:$A,'Paste Here'!AF:AF),0)</f>
        <v>0</v>
      </c>
      <c r="AH33" s="144">
        <f>IFERROR(_xlfn.XLOOKUP($B33,'Paste Here'!$A:$A,'Paste Here'!AG:AG),0)</f>
        <v>0</v>
      </c>
    </row>
    <row r="34" spans="1:34" x14ac:dyDescent="0.25">
      <c r="A34" s="75" t="s">
        <v>46</v>
      </c>
      <c r="B34" s="82" t="s">
        <v>20</v>
      </c>
      <c r="C34" s="154">
        <f>IFERROR(_xlfn.XLOOKUP($B34,'Paste Here'!$A:$A,'Paste Here'!B:B),0)</f>
        <v>39879.250000000007</v>
      </c>
      <c r="D34" s="154">
        <f>IFERROR(_xlfn.XLOOKUP($B34,'Paste Here'!$A:$A,'Paste Here'!C:C),0)</f>
        <v>41276.864000000001</v>
      </c>
      <c r="E34" s="154">
        <f>IFERROR(_xlfn.XLOOKUP($B34,'Paste Here'!$A:$A,'Paste Here'!D:D),0)</f>
        <v>38992.243000000002</v>
      </c>
      <c r="F34" s="154">
        <f>IFERROR(_xlfn.XLOOKUP($B34,'Paste Here'!$A:$A,'Paste Here'!E:E),0)</f>
        <v>38396.423999999992</v>
      </c>
      <c r="G34" s="154">
        <f>IFERROR(_xlfn.XLOOKUP($B34,'Paste Here'!$A:$A,'Paste Here'!F:F),0)</f>
        <v>41724.777000000016</v>
      </c>
      <c r="H34" s="154">
        <f>IFERROR(_xlfn.XLOOKUP($B34,'Paste Here'!$A:$A,'Paste Here'!G:G),0)</f>
        <v>39591.122999999992</v>
      </c>
      <c r="I34" s="155">
        <f>IFERROR(_xlfn.XLOOKUP($B34,'Paste Here'!$A:$A,'Paste Here'!H:H),0)</f>
        <v>53945.615283449988</v>
      </c>
      <c r="J34" s="155">
        <f>IFERROR(_xlfn.XLOOKUP($B34,'Paste Here'!$A:$A,'Paste Here'!I:I),0)</f>
        <v>46179.843724238781</v>
      </c>
      <c r="K34" s="155">
        <f>IFERROR(_xlfn.XLOOKUP($B34,'Paste Here'!$A:$A,'Paste Here'!J:J),0)</f>
        <v>47790.126115378633</v>
      </c>
      <c r="L34" s="155">
        <f>IFERROR(_xlfn.XLOOKUP($B34,'Paste Here'!$A:$A,'Paste Here'!K:K),0)</f>
        <v>45611.026439622445</v>
      </c>
      <c r="M34" s="155">
        <f>IFERROR(_xlfn.XLOOKUP($B34,'Paste Here'!$A:$A,'Paste Here'!L:L),0)</f>
        <v>45072.148954059659</v>
      </c>
      <c r="N34" s="155">
        <f>IFERROR(_xlfn.XLOOKUP($B34,'Paste Here'!$A:$A,'Paste Here'!M:M),0)</f>
        <v>47405.684965866676</v>
      </c>
      <c r="O34" s="155">
        <f>IFERROR(_xlfn.XLOOKUP($B34,'Paste Here'!$A:$A,'Paste Here'!N:N),0)</f>
        <v>47666.005081678057</v>
      </c>
      <c r="P34" s="155">
        <f>IFERROR(_xlfn.XLOOKUP($B34,'Paste Here'!$A:$A,'Paste Here'!O:O),0)</f>
        <v>46167.61007475682</v>
      </c>
      <c r="Q34" s="155">
        <f>IFERROR(_xlfn.XLOOKUP($B34,'Paste Here'!$A:$A,'Paste Here'!P:P),0)</f>
        <v>44473.103384224662</v>
      </c>
      <c r="R34" s="155">
        <f>IFERROR(_xlfn.XLOOKUP($B34,'Paste Here'!$A:$A,'Paste Here'!Q:Q),0)</f>
        <v>46217.342601662305</v>
      </c>
      <c r="S34" s="155">
        <f>IFERROR(_xlfn.XLOOKUP($B34,'Paste Here'!$A:$A,'Paste Here'!R:R),0)</f>
        <v>41679.817157270569</v>
      </c>
      <c r="T34" s="155">
        <f>IFERROR(_xlfn.XLOOKUP($B34,'Paste Here'!$A:$A,'Paste Here'!S:S),0)</f>
        <v>43517.608472371241</v>
      </c>
      <c r="U34" s="155">
        <f>IFERROR(_xlfn.XLOOKUP($B34,'Paste Here'!$A:$A,'Paste Here'!T:T),0)</f>
        <v>41879.090423392685</v>
      </c>
      <c r="V34" s="155">
        <f>IFERROR(_xlfn.XLOOKUP($B34,'Paste Here'!$A:$A,'Paste Here'!U:U),0)</f>
        <v>38958.096405312535</v>
      </c>
      <c r="W34" s="155">
        <f>IFERROR(_xlfn.XLOOKUP($B34,'Paste Here'!$A:$A,'Paste Here'!V:V),0)</f>
        <v>37934.461149145485</v>
      </c>
      <c r="X34" s="155">
        <f>IFERROR(_xlfn.XLOOKUP($B34,'Paste Here'!$A:$A,'Paste Here'!W:W),0)</f>
        <v>42726.133077752267</v>
      </c>
      <c r="Y34" s="155">
        <f>IFERROR(_xlfn.XLOOKUP($B34,'Paste Here'!$A:$A,'Paste Here'!X:X),0)</f>
        <v>45575.906300086106</v>
      </c>
      <c r="Z34" s="155">
        <f>IFERROR(_xlfn.XLOOKUP($B34,'Paste Here'!$A:$A,'Paste Here'!Y:Y),0)</f>
        <v>46218.617704868338</v>
      </c>
      <c r="AA34" s="155">
        <f>IFERROR(_xlfn.XLOOKUP($B34,'Paste Here'!$A:$A,'Paste Here'!Z:Z),0)</f>
        <v>36660.234434748018</v>
      </c>
      <c r="AB34" s="155">
        <f>IFERROR(_xlfn.XLOOKUP($B34,'Paste Here'!$A:$A,'Paste Here'!AA:AA),0)</f>
        <v>36682.037039204821</v>
      </c>
      <c r="AC34" s="155">
        <f>IFERROR(_xlfn.XLOOKUP($B34,'Paste Here'!$A:$A,'Paste Here'!AB:AB),0)</f>
        <v>40592.63725546722</v>
      </c>
      <c r="AD34" s="155">
        <f>IFERROR(_xlfn.XLOOKUP($B34,'Paste Here'!$A:$A,'Paste Here'!AC:AC),0)</f>
        <v>43396.430121438709</v>
      </c>
      <c r="AE34" s="155">
        <f>IFERROR(_xlfn.XLOOKUP($B34,'Paste Here'!$A:$A,'Paste Here'!AD:AD),0)</f>
        <v>43425.06650577228</v>
      </c>
      <c r="AF34" s="155">
        <f>IFERROR(_xlfn.XLOOKUP($B34,'Paste Here'!$A:$A,'Paste Here'!AE:AE),0)</f>
        <v>43024.993091539014</v>
      </c>
      <c r="AG34" s="155">
        <f>IFERROR(_xlfn.XLOOKUP($B34,'Paste Here'!$A:$A,'Paste Here'!AF:AF),0)</f>
        <v>47851.763512573394</v>
      </c>
      <c r="AH34" s="155">
        <f>IFERROR(_xlfn.XLOOKUP($B34,'Paste Here'!$A:$A,'Paste Here'!AG:AG),0)</f>
        <v>41054.577055613467</v>
      </c>
    </row>
    <row r="35" spans="1:34" x14ac:dyDescent="0.25">
      <c r="B35" s="86" t="s">
        <v>21</v>
      </c>
      <c r="C35" s="133">
        <f>IFERROR(_xlfn.XLOOKUP($B35,'Paste Here'!$A:$A,'Paste Here'!B:B),0)</f>
        <v>44895.250000000007</v>
      </c>
      <c r="D35" s="133">
        <f>IFERROR(_xlfn.XLOOKUP($B35,'Paste Here'!$A:$A,'Paste Here'!C:C),0)</f>
        <v>38654.864000000001</v>
      </c>
      <c r="E35" s="133">
        <f>IFERROR(_xlfn.XLOOKUP($B35,'Paste Here'!$A:$A,'Paste Here'!D:D),0)</f>
        <v>39220.243000000002</v>
      </c>
      <c r="F35" s="133">
        <f>IFERROR(_xlfn.XLOOKUP($B35,'Paste Here'!$A:$A,'Paste Here'!E:E),0)</f>
        <v>45977.423999999999</v>
      </c>
      <c r="G35" s="133">
        <f>IFERROR(_xlfn.XLOOKUP($B35,'Paste Here'!$A:$A,'Paste Here'!F:F),0)</f>
        <v>45315.777000000016</v>
      </c>
      <c r="H35" s="133">
        <f>IFERROR(_xlfn.XLOOKUP($B35,'Paste Here'!$A:$A,'Paste Here'!G:G),0)</f>
        <v>40617.122999999992</v>
      </c>
      <c r="I35" s="153">
        <f>IFERROR(_xlfn.XLOOKUP($B35,'Paste Here'!$A:$A,'Paste Here'!H:H),0)</f>
        <v>49964.575499999984</v>
      </c>
      <c r="J35" s="153">
        <f>IFERROR(_xlfn.XLOOKUP($B35,'Paste Here'!$A:$A,'Paste Here'!I:I),0)</f>
        <v>43422.197881412052</v>
      </c>
      <c r="K35" s="153">
        <f>IFERROR(_xlfn.XLOOKUP($B35,'Paste Here'!$A:$A,'Paste Here'!J:J),0)</f>
        <v>43253.434723261715</v>
      </c>
      <c r="L35" s="153">
        <f>IFERROR(_xlfn.XLOOKUP($B35,'Paste Here'!$A:$A,'Paste Here'!K:K),0)</f>
        <v>42191.392982508929</v>
      </c>
      <c r="M35" s="153">
        <f>IFERROR(_xlfn.XLOOKUP($B35,'Paste Here'!$A:$A,'Paste Here'!L:L),0)</f>
        <v>42398.278804289948</v>
      </c>
      <c r="N35" s="153">
        <f>IFERROR(_xlfn.XLOOKUP($B35,'Paste Here'!$A:$A,'Paste Here'!M:M),0)</f>
        <v>44558.773212222572</v>
      </c>
      <c r="O35" s="153">
        <f>IFERROR(_xlfn.XLOOKUP($B35,'Paste Here'!$A:$A,'Paste Here'!N:N),0)</f>
        <v>45195.797460599053</v>
      </c>
      <c r="P35" s="153">
        <f>IFERROR(_xlfn.XLOOKUP($B35,'Paste Here'!$A:$A,'Paste Here'!O:O),0)</f>
        <v>46167.610074756813</v>
      </c>
      <c r="Q35" s="153">
        <f>IFERROR(_xlfn.XLOOKUP($B35,'Paste Here'!$A:$A,'Paste Here'!P:P),0)</f>
        <v>44473.103384224662</v>
      </c>
      <c r="R35" s="153">
        <f>IFERROR(_xlfn.XLOOKUP($B35,'Paste Here'!$A:$A,'Paste Here'!Q:Q),0)</f>
        <v>46217.342601662313</v>
      </c>
      <c r="S35" s="153">
        <f>IFERROR(_xlfn.XLOOKUP($B35,'Paste Here'!$A:$A,'Paste Here'!R:R),0)</f>
        <v>41679.817157270569</v>
      </c>
      <c r="T35" s="153">
        <f>IFERROR(_xlfn.XLOOKUP($B35,'Paste Here'!$A:$A,'Paste Here'!S:S),0)</f>
        <v>43517.608472371241</v>
      </c>
      <c r="U35" s="153">
        <f>IFERROR(_xlfn.XLOOKUP($B35,'Paste Here'!$A:$A,'Paste Here'!T:T),0)</f>
        <v>41879.090423392685</v>
      </c>
      <c r="V35" s="153">
        <f>IFERROR(_xlfn.XLOOKUP($B35,'Paste Here'!$A:$A,'Paste Here'!U:U),0)</f>
        <v>38958.096405312535</v>
      </c>
      <c r="W35" s="153">
        <f>IFERROR(_xlfn.XLOOKUP($B35,'Paste Here'!$A:$A,'Paste Here'!V:V),0)</f>
        <v>37934.461149145485</v>
      </c>
      <c r="X35" s="153">
        <f>IFERROR(_xlfn.XLOOKUP($B35,'Paste Here'!$A:$A,'Paste Here'!W:W),0)</f>
        <v>42726.133077752267</v>
      </c>
      <c r="Y35" s="153">
        <f>IFERROR(_xlfn.XLOOKUP($B35,'Paste Here'!$A:$A,'Paste Here'!X:X),0)</f>
        <v>45575.906300086106</v>
      </c>
      <c r="Z35" s="153">
        <f>IFERROR(_xlfn.XLOOKUP($B35,'Paste Here'!$A:$A,'Paste Here'!Y:Y),0)</f>
        <v>46218.617704868338</v>
      </c>
      <c r="AA35" s="153">
        <f>IFERROR(_xlfn.XLOOKUP($B35,'Paste Here'!$A:$A,'Paste Here'!Z:Z),0)</f>
        <v>36660.234434748025</v>
      </c>
      <c r="AB35" s="153">
        <f>IFERROR(_xlfn.XLOOKUP($B35,'Paste Here'!$A:$A,'Paste Here'!AA:AA),0)</f>
        <v>36682.037039204821</v>
      </c>
      <c r="AC35" s="153">
        <f>IFERROR(_xlfn.XLOOKUP($B35,'Paste Here'!$A:$A,'Paste Here'!AB:AB),0)</f>
        <v>40592.637255467213</v>
      </c>
      <c r="AD35" s="153">
        <f>IFERROR(_xlfn.XLOOKUP($B35,'Paste Here'!$A:$A,'Paste Here'!AC:AC),0)</f>
        <v>43396.430121438709</v>
      </c>
      <c r="AE35" s="153">
        <f>IFERROR(_xlfn.XLOOKUP($B35,'Paste Here'!$A:$A,'Paste Here'!AD:AD),0)</f>
        <v>43425.06650577228</v>
      </c>
      <c r="AF35" s="153">
        <f>IFERROR(_xlfn.XLOOKUP($B35,'Paste Here'!$A:$A,'Paste Here'!AE:AE),0)</f>
        <v>43024.993091539014</v>
      </c>
      <c r="AG35" s="153">
        <f>IFERROR(_xlfn.XLOOKUP($B35,'Paste Here'!$A:$A,'Paste Here'!AF:AF),0)</f>
        <v>47851.763512573394</v>
      </c>
      <c r="AH35" s="153">
        <f>IFERROR(_xlfn.XLOOKUP($B35,'Paste Here'!$A:$A,'Paste Here'!AG:AG),0)</f>
        <v>41054.577055613467</v>
      </c>
    </row>
    <row r="36" spans="1:34" s="7" customFormat="1" x14ac:dyDescent="0.25">
      <c r="B36" s="7" t="s">
        <v>6</v>
      </c>
      <c r="C36" s="146">
        <f>IFERROR(_xlfn.XLOOKUP($B36,'Paste Here'!$A:$A,'Paste Here'!B:B),0)</f>
        <v>0</v>
      </c>
      <c r="D36" s="146">
        <f>IFERROR(_xlfn.XLOOKUP($B36,'Paste Here'!$A:$A,'Paste Here'!C:C),0)</f>
        <v>0</v>
      </c>
      <c r="E36" s="146">
        <f>IFERROR(_xlfn.XLOOKUP($B36,'Paste Here'!$A:$A,'Paste Here'!D:D),0)</f>
        <v>0</v>
      </c>
      <c r="F36" s="146">
        <f>IFERROR(_xlfn.XLOOKUP($B36,'Paste Here'!$A:$A,'Paste Here'!E:E),0)</f>
        <v>0</v>
      </c>
      <c r="G36" s="146">
        <f>IFERROR(_xlfn.XLOOKUP($B36,'Paste Here'!$A:$A,'Paste Here'!F:F),0)</f>
        <v>0</v>
      </c>
      <c r="H36" s="146">
        <f>IFERROR(_xlfn.XLOOKUP($B36,'Paste Here'!$A:$A,'Paste Here'!G:G),0)</f>
        <v>0</v>
      </c>
      <c r="I36" s="146">
        <f>IFERROR(_xlfn.XLOOKUP($B36,'Paste Here'!$A:$A,'Paste Here'!H:H),0)</f>
        <v>0</v>
      </c>
      <c r="J36" s="146">
        <f>IFERROR(_xlfn.XLOOKUP($B36,'Paste Here'!$A:$A,'Paste Here'!I:I),0)</f>
        <v>0</v>
      </c>
      <c r="K36" s="146">
        <f>IFERROR(_xlfn.XLOOKUP($B36,'Paste Here'!$A:$A,'Paste Here'!J:J),0)</f>
        <v>0</v>
      </c>
      <c r="L36" s="146">
        <f>IFERROR(_xlfn.XLOOKUP($B36,'Paste Here'!$A:$A,'Paste Here'!K:K),0)</f>
        <v>0</v>
      </c>
      <c r="M36" s="146">
        <f>IFERROR(_xlfn.XLOOKUP($B36,'Paste Here'!$A:$A,'Paste Here'!L:L),0)</f>
        <v>0</v>
      </c>
      <c r="N36" s="146">
        <f>IFERROR(_xlfn.XLOOKUP($B36,'Paste Here'!$A:$A,'Paste Here'!M:M),0)</f>
        <v>0</v>
      </c>
      <c r="O36" s="146">
        <f>IFERROR(_xlfn.XLOOKUP($B36,'Paste Here'!$A:$A,'Paste Here'!N:N),0)</f>
        <v>0</v>
      </c>
      <c r="P36" s="146">
        <f>IFERROR(_xlfn.XLOOKUP($B36,'Paste Here'!$A:$A,'Paste Here'!O:O),0)</f>
        <v>0</v>
      </c>
      <c r="Q36" s="146">
        <f>IFERROR(_xlfn.XLOOKUP($B36,'Paste Here'!$A:$A,'Paste Here'!P:P),0)</f>
        <v>0</v>
      </c>
      <c r="R36" s="146">
        <f>IFERROR(_xlfn.XLOOKUP($B36,'Paste Here'!$A:$A,'Paste Here'!Q:Q),0)</f>
        <v>0</v>
      </c>
      <c r="S36" s="146">
        <f>IFERROR(_xlfn.XLOOKUP($B36,'Paste Here'!$A:$A,'Paste Here'!R:R),0)</f>
        <v>0</v>
      </c>
      <c r="T36" s="146">
        <f>IFERROR(_xlfn.XLOOKUP($B36,'Paste Here'!$A:$A,'Paste Here'!S:S),0)</f>
        <v>0</v>
      </c>
      <c r="U36" s="146">
        <f>IFERROR(_xlfn.XLOOKUP($B36,'Paste Here'!$A:$A,'Paste Here'!T:T),0)</f>
        <v>0</v>
      </c>
      <c r="V36" s="146">
        <f>IFERROR(_xlfn.XLOOKUP($B36,'Paste Here'!$A:$A,'Paste Here'!U:U),0)</f>
        <v>0</v>
      </c>
      <c r="W36" s="146">
        <f>IFERROR(_xlfn.XLOOKUP($B36,'Paste Here'!$A:$A,'Paste Here'!V:V),0)</f>
        <v>0</v>
      </c>
      <c r="X36" s="146">
        <f>IFERROR(_xlfn.XLOOKUP($B36,'Paste Here'!$A:$A,'Paste Here'!W:W),0)</f>
        <v>0</v>
      </c>
      <c r="Y36" s="146">
        <f>IFERROR(_xlfn.XLOOKUP($B36,'Paste Here'!$A:$A,'Paste Here'!X:X),0)</f>
        <v>0</v>
      </c>
      <c r="Z36" s="146">
        <f>IFERROR(_xlfn.XLOOKUP($B36,'Paste Here'!$A:$A,'Paste Here'!Y:Y),0)</f>
        <v>0</v>
      </c>
      <c r="AA36" s="146">
        <f>IFERROR(_xlfn.XLOOKUP($B36,'Paste Here'!$A:$A,'Paste Here'!Z:Z),0)</f>
        <v>0</v>
      </c>
      <c r="AB36" s="146">
        <f>IFERROR(_xlfn.XLOOKUP($B36,'Paste Here'!$A:$A,'Paste Here'!AA:AA),0)</f>
        <v>0</v>
      </c>
      <c r="AC36" s="146">
        <f>IFERROR(_xlfn.XLOOKUP($B36,'Paste Here'!$A:$A,'Paste Here'!AB:AB),0)</f>
        <v>0</v>
      </c>
      <c r="AD36" s="146">
        <f>IFERROR(_xlfn.XLOOKUP($B36,'Paste Here'!$A:$A,'Paste Here'!AC:AC),0)</f>
        <v>0</v>
      </c>
      <c r="AE36" s="146">
        <f>IFERROR(_xlfn.XLOOKUP($B36,'Paste Here'!$A:$A,'Paste Here'!AD:AD),0)</f>
        <v>0</v>
      </c>
      <c r="AF36" s="146">
        <f>IFERROR(_xlfn.XLOOKUP($B36,'Paste Here'!$A:$A,'Paste Here'!AE:AE),0)</f>
        <v>0</v>
      </c>
      <c r="AG36" s="146">
        <f>IFERROR(_xlfn.XLOOKUP($B36,'Paste Here'!$A:$A,'Paste Here'!AF:AF),0)</f>
        <v>0</v>
      </c>
      <c r="AH36" s="146">
        <f>IFERROR(_xlfn.XLOOKUP($B36,'Paste Here'!$A:$A,'Paste Here'!AG:AG),0)</f>
        <v>0</v>
      </c>
    </row>
    <row r="37" spans="1:34" x14ac:dyDescent="0.25">
      <c r="A37" s="74" t="s">
        <v>47</v>
      </c>
      <c r="B37" t="s">
        <v>68</v>
      </c>
      <c r="C37" s="130">
        <f>IFERROR(_xlfn.XLOOKUP($B37,'Paste Here'!$A:$A,'Paste Here'!B:B),0)</f>
        <v>62559.993999999984</v>
      </c>
      <c r="D37" s="130">
        <f>IFERROR(_xlfn.XLOOKUP($B37,'Paste Here'!$A:$A,'Paste Here'!C:C),0)</f>
        <v>62559.993999999992</v>
      </c>
      <c r="E37" s="130">
        <f>IFERROR(_xlfn.XLOOKUP($B37,'Paste Here'!$A:$A,'Paste Here'!D:D),0)</f>
        <v>62559.993999999984</v>
      </c>
      <c r="F37" s="130">
        <f>IFERROR(_xlfn.XLOOKUP($B37,'Paste Here'!$A:$A,'Paste Here'!E:E),0)</f>
        <v>62559.993999999984</v>
      </c>
      <c r="G37" s="130">
        <f>IFERROR(_xlfn.XLOOKUP($B37,'Paste Here'!$A:$A,'Paste Here'!F:F),0)</f>
        <v>62559.993999999984</v>
      </c>
      <c r="H37" s="130">
        <f>IFERROR(_xlfn.XLOOKUP($B37,'Paste Here'!$A:$A,'Paste Here'!G:G),0)</f>
        <v>62559.993999999984</v>
      </c>
      <c r="I37" s="135">
        <f>IFERROR(_xlfn.XLOOKUP($B37,'Paste Here'!$A:$A,'Paste Here'!H:H),0)</f>
        <v>62559.993999999984</v>
      </c>
      <c r="J37" s="135">
        <f>IFERROR(_xlfn.XLOOKUP($B37,'Paste Here'!$A:$A,'Paste Here'!I:I),0)</f>
        <v>62559.993999999984</v>
      </c>
      <c r="K37" s="135">
        <f>IFERROR(_xlfn.XLOOKUP($B37,'Paste Here'!$A:$A,'Paste Here'!J:J),0)</f>
        <v>62559.993999999984</v>
      </c>
      <c r="L37" s="135">
        <f>IFERROR(_xlfn.XLOOKUP($B37,'Paste Here'!$A:$A,'Paste Here'!K:K),0)</f>
        <v>62559.993999999984</v>
      </c>
      <c r="M37" s="135">
        <f>IFERROR(_xlfn.XLOOKUP($B37,'Paste Here'!$A:$A,'Paste Here'!L:L),0)</f>
        <v>62559.993999999984</v>
      </c>
      <c r="N37" s="135">
        <f>IFERROR(_xlfn.XLOOKUP($B37,'Paste Here'!$A:$A,'Paste Here'!M:M),0)</f>
        <v>62559.993999999984</v>
      </c>
      <c r="O37" s="135">
        <f>IFERROR(_xlfn.XLOOKUP($B37,'Paste Here'!$A:$A,'Paste Here'!N:N),0)</f>
        <v>62559.993999999984</v>
      </c>
      <c r="P37" s="135">
        <f>IFERROR(_xlfn.XLOOKUP($B37,'Paste Here'!$A:$A,'Paste Here'!O:O),0)</f>
        <v>62559.993999999984</v>
      </c>
      <c r="Q37" s="135">
        <f>IFERROR(_xlfn.XLOOKUP($B37,'Paste Here'!$A:$A,'Paste Here'!P:P),0)</f>
        <v>62559.993999999984</v>
      </c>
      <c r="R37" s="135">
        <f>IFERROR(_xlfn.XLOOKUP($B37,'Paste Here'!$A:$A,'Paste Here'!Q:Q),0)</f>
        <v>62559.993999999984</v>
      </c>
      <c r="S37" s="135">
        <f>IFERROR(_xlfn.XLOOKUP($B37,'Paste Here'!$A:$A,'Paste Here'!R:R),0)</f>
        <v>62559.993999999999</v>
      </c>
      <c r="T37" s="135">
        <f>IFERROR(_xlfn.XLOOKUP($B37,'Paste Here'!$A:$A,'Paste Here'!S:S),0)</f>
        <v>62559.993999999984</v>
      </c>
      <c r="U37" s="135">
        <f>IFERROR(_xlfn.XLOOKUP($B37,'Paste Here'!$A:$A,'Paste Here'!T:T),0)</f>
        <v>62559.993999999984</v>
      </c>
      <c r="V37" s="135">
        <f>IFERROR(_xlfn.XLOOKUP($B37,'Paste Here'!$A:$A,'Paste Here'!U:U),0)</f>
        <v>62559.993999999984</v>
      </c>
      <c r="W37" s="135">
        <f>IFERROR(_xlfn.XLOOKUP($B37,'Paste Here'!$A:$A,'Paste Here'!V:V),0)</f>
        <v>62559.993999999984</v>
      </c>
      <c r="X37" s="135">
        <f>IFERROR(_xlfn.XLOOKUP($B37,'Paste Here'!$A:$A,'Paste Here'!W:W),0)</f>
        <v>62559.993999999984</v>
      </c>
      <c r="Y37" s="135">
        <f>IFERROR(_xlfn.XLOOKUP($B37,'Paste Here'!$A:$A,'Paste Here'!X:X),0)</f>
        <v>62559.993999999984</v>
      </c>
      <c r="Z37" s="135">
        <f>IFERROR(_xlfn.XLOOKUP($B37,'Paste Here'!$A:$A,'Paste Here'!Y:Y),0)</f>
        <v>62559.993999999984</v>
      </c>
      <c r="AA37" s="135">
        <f>IFERROR(_xlfn.XLOOKUP($B37,'Paste Here'!$A:$A,'Paste Here'!Z:Z),0)</f>
        <v>62559.993999999984</v>
      </c>
      <c r="AB37" s="135">
        <f>IFERROR(_xlfn.XLOOKUP($B37,'Paste Here'!$A:$A,'Paste Here'!AA:AA),0)</f>
        <v>62559.993999999984</v>
      </c>
      <c r="AC37" s="135">
        <f>IFERROR(_xlfn.XLOOKUP($B37,'Paste Here'!$A:$A,'Paste Here'!AB:AB),0)</f>
        <v>62559.993999999984</v>
      </c>
      <c r="AD37" s="135">
        <f>IFERROR(_xlfn.XLOOKUP($B37,'Paste Here'!$A:$A,'Paste Here'!AC:AC),0)</f>
        <v>62559.993999999984</v>
      </c>
      <c r="AE37" s="135">
        <f>IFERROR(_xlfn.XLOOKUP($B37,'Paste Here'!$A:$A,'Paste Here'!AD:AD),0)</f>
        <v>62559.993999999984</v>
      </c>
      <c r="AF37" s="135">
        <f>IFERROR(_xlfn.XLOOKUP($B37,'Paste Here'!$A:$A,'Paste Here'!AE:AE),0)</f>
        <v>62559.993999999984</v>
      </c>
      <c r="AG37" s="135">
        <f>IFERROR(_xlfn.XLOOKUP($B37,'Paste Here'!$A:$A,'Paste Here'!AF:AF),0)</f>
        <v>62559.993999999984</v>
      </c>
      <c r="AH37" s="135">
        <f>IFERROR(_xlfn.XLOOKUP($B37,'Paste Here'!$A:$A,'Paste Here'!AG:AG),0)</f>
        <v>62559.993999999984</v>
      </c>
    </row>
    <row r="38" spans="1:34" s="7" customFormat="1" x14ac:dyDescent="0.25">
      <c r="A38" s="147" t="s">
        <v>48</v>
      </c>
      <c r="B38" s="7" t="s">
        <v>6</v>
      </c>
      <c r="C38" s="144">
        <f>IFERROR(_xlfn.XLOOKUP($B38,'Paste Here'!$A:$A,'Paste Here'!B:B),0)</f>
        <v>0</v>
      </c>
      <c r="D38" s="144">
        <f>IFERROR(_xlfn.XLOOKUP($B38,'Paste Here'!$A:$A,'Paste Here'!C:C),0)</f>
        <v>0</v>
      </c>
      <c r="E38" s="144">
        <f>IFERROR(_xlfn.XLOOKUP($B38,'Paste Here'!$A:$A,'Paste Here'!D:D),0)</f>
        <v>0</v>
      </c>
      <c r="F38" s="144">
        <f>IFERROR(_xlfn.XLOOKUP($B38,'Paste Here'!$A:$A,'Paste Here'!E:E),0)</f>
        <v>0</v>
      </c>
      <c r="G38" s="144">
        <f>IFERROR(_xlfn.XLOOKUP($B38,'Paste Here'!$A:$A,'Paste Here'!F:F),0)</f>
        <v>0</v>
      </c>
      <c r="H38" s="144">
        <f>IFERROR(_xlfn.XLOOKUP($B38,'Paste Here'!$A:$A,'Paste Here'!G:G),0)</f>
        <v>0</v>
      </c>
      <c r="I38" s="144">
        <f>IFERROR(_xlfn.XLOOKUP($B38,'Paste Here'!$A:$A,'Paste Here'!H:H),0)</f>
        <v>0</v>
      </c>
      <c r="J38" s="144">
        <f>IFERROR(_xlfn.XLOOKUP($B38,'Paste Here'!$A:$A,'Paste Here'!I:I),0)</f>
        <v>0</v>
      </c>
      <c r="K38" s="144">
        <f>IFERROR(_xlfn.XLOOKUP($B38,'Paste Here'!$A:$A,'Paste Here'!J:J),0)</f>
        <v>0</v>
      </c>
      <c r="L38" s="144">
        <f>IFERROR(_xlfn.XLOOKUP($B38,'Paste Here'!$A:$A,'Paste Here'!K:K),0)</f>
        <v>0</v>
      </c>
      <c r="M38" s="144">
        <f>IFERROR(_xlfn.XLOOKUP($B38,'Paste Here'!$A:$A,'Paste Here'!L:L),0)</f>
        <v>0</v>
      </c>
      <c r="N38" s="144">
        <f>IFERROR(_xlfn.XLOOKUP($B38,'Paste Here'!$A:$A,'Paste Here'!M:M),0)</f>
        <v>0</v>
      </c>
      <c r="O38" s="144">
        <f>IFERROR(_xlfn.XLOOKUP($B38,'Paste Here'!$A:$A,'Paste Here'!N:N),0)</f>
        <v>0</v>
      </c>
      <c r="P38" s="144">
        <f>IFERROR(_xlfn.XLOOKUP($B38,'Paste Here'!$A:$A,'Paste Here'!O:O),0)</f>
        <v>0</v>
      </c>
      <c r="Q38" s="144">
        <f>IFERROR(_xlfn.XLOOKUP($B38,'Paste Here'!$A:$A,'Paste Here'!P:P),0)</f>
        <v>0</v>
      </c>
      <c r="R38" s="144">
        <f>IFERROR(_xlfn.XLOOKUP($B38,'Paste Here'!$A:$A,'Paste Here'!Q:Q),0)</f>
        <v>0</v>
      </c>
      <c r="S38" s="144">
        <f>IFERROR(_xlfn.XLOOKUP($B38,'Paste Here'!$A:$A,'Paste Here'!R:R),0)</f>
        <v>0</v>
      </c>
      <c r="T38" s="144">
        <f>IFERROR(_xlfn.XLOOKUP($B38,'Paste Here'!$A:$A,'Paste Here'!S:S),0)</f>
        <v>0</v>
      </c>
      <c r="U38" s="144">
        <f>IFERROR(_xlfn.XLOOKUP($B38,'Paste Here'!$A:$A,'Paste Here'!T:T),0)</f>
        <v>0</v>
      </c>
      <c r="V38" s="144">
        <f>IFERROR(_xlfn.XLOOKUP($B38,'Paste Here'!$A:$A,'Paste Here'!U:U),0)</f>
        <v>0</v>
      </c>
      <c r="W38" s="144">
        <f>IFERROR(_xlfn.XLOOKUP($B38,'Paste Here'!$A:$A,'Paste Here'!V:V),0)</f>
        <v>0</v>
      </c>
      <c r="X38" s="144">
        <f>IFERROR(_xlfn.XLOOKUP($B38,'Paste Here'!$A:$A,'Paste Here'!W:W),0)</f>
        <v>0</v>
      </c>
      <c r="Y38" s="144">
        <f>IFERROR(_xlfn.XLOOKUP($B38,'Paste Here'!$A:$A,'Paste Here'!X:X),0)</f>
        <v>0</v>
      </c>
      <c r="Z38" s="144">
        <f>IFERROR(_xlfn.XLOOKUP($B38,'Paste Here'!$A:$A,'Paste Here'!Y:Y),0)</f>
        <v>0</v>
      </c>
      <c r="AA38" s="144">
        <f>IFERROR(_xlfn.XLOOKUP($B38,'Paste Here'!$A:$A,'Paste Here'!Z:Z),0)</f>
        <v>0</v>
      </c>
      <c r="AB38" s="144">
        <f>IFERROR(_xlfn.XLOOKUP($B38,'Paste Here'!$A:$A,'Paste Here'!AA:AA),0)</f>
        <v>0</v>
      </c>
      <c r="AC38" s="144">
        <f>IFERROR(_xlfn.XLOOKUP($B38,'Paste Here'!$A:$A,'Paste Here'!AB:AB),0)</f>
        <v>0</v>
      </c>
      <c r="AD38" s="144">
        <f>IFERROR(_xlfn.XLOOKUP($B38,'Paste Here'!$A:$A,'Paste Here'!AC:AC),0)</f>
        <v>0</v>
      </c>
      <c r="AE38" s="144">
        <f>IFERROR(_xlfn.XLOOKUP($B38,'Paste Here'!$A:$A,'Paste Here'!AD:AD),0)</f>
        <v>0</v>
      </c>
      <c r="AF38" s="144">
        <f>IFERROR(_xlfn.XLOOKUP($B38,'Paste Here'!$A:$A,'Paste Here'!AE:AE),0)</f>
        <v>0</v>
      </c>
      <c r="AG38" s="144">
        <f>IFERROR(_xlfn.XLOOKUP($B38,'Paste Here'!$A:$A,'Paste Here'!AF:AF),0)</f>
        <v>0</v>
      </c>
      <c r="AH38" s="144">
        <f>IFERROR(_xlfn.XLOOKUP($B38,'Paste Here'!$A:$A,'Paste Here'!AG:AG),0)</f>
        <v>0</v>
      </c>
    </row>
    <row r="39" spans="1:34" x14ac:dyDescent="0.25">
      <c r="A39" s="75" t="s">
        <v>28</v>
      </c>
      <c r="B39" s="87" t="s">
        <v>69</v>
      </c>
      <c r="C39" s="138">
        <f>IFERROR(_xlfn.XLOOKUP($B39,'Paste Here'!$A:$A,'Paste Here'!B:B),0)</f>
        <v>0.63745610333658276</v>
      </c>
      <c r="D39" s="138">
        <f>IFERROR(_xlfn.XLOOKUP($B39,'Paste Here'!$A:$A,'Paste Here'!C:C),0)</f>
        <v>0.65979648271705393</v>
      </c>
      <c r="E39" s="138">
        <f>IFERROR(_xlfn.XLOOKUP($B39,'Paste Here'!$A:$A,'Paste Here'!D:D),0)</f>
        <v>0.62327760133736587</v>
      </c>
      <c r="F39" s="138">
        <f>IFERROR(_xlfn.XLOOKUP($B39,'Paste Here'!$A:$A,'Paste Here'!E:E),0)</f>
        <v>0.61375363942649996</v>
      </c>
      <c r="G39" s="138">
        <f>IFERROR(_xlfn.XLOOKUP($B39,'Paste Here'!$A:$A,'Paste Here'!F:F),0)</f>
        <v>0.66695621805846084</v>
      </c>
      <c r="H39" s="138">
        <f>IFERROR(_xlfn.XLOOKUP($B39,'Paste Here'!$A:$A,'Paste Here'!G:G),0)</f>
        <v>0.63285049228105761</v>
      </c>
      <c r="I39" s="139">
        <f>IFERROR(_xlfn.XLOOKUP($B39,'Paste Here'!$A:$A,'Paste Here'!H:H),0)</f>
        <v>0.86230211728361106</v>
      </c>
      <c r="J39" s="139">
        <f>IFERROR(_xlfn.XLOOKUP($B39,'Paste Here'!$A:$A,'Paste Here'!I:I),0)</f>
        <v>0.7381689282808882</v>
      </c>
      <c r="K39" s="139">
        <f>IFERROR(_xlfn.XLOOKUP($B39,'Paste Here'!$A:$A,'Paste Here'!J:J),0)</f>
        <v>0.76390873879205667</v>
      </c>
      <c r="L39" s="139">
        <f>IFERROR(_xlfn.XLOOKUP($B39,'Paste Here'!$A:$A,'Paste Here'!K:K),0)</f>
        <v>0.7290765795089823</v>
      </c>
      <c r="M39" s="139">
        <f>IFERROR(_xlfn.XLOOKUP($B39,'Paste Here'!$A:$A,'Paste Here'!L:L),0)</f>
        <v>0.72046280813357599</v>
      </c>
      <c r="N39" s="139">
        <f>IFERROR(_xlfn.XLOOKUP($B39,'Paste Here'!$A:$A,'Paste Here'!M:M),0)</f>
        <v>0.75776357916317383</v>
      </c>
      <c r="O39" s="139">
        <f>IFERROR(_xlfn.XLOOKUP($B39,'Paste Here'!$A:$A,'Paste Here'!N:N),0)</f>
        <v>0.76192470673315682</v>
      </c>
      <c r="P39" s="139">
        <f>IFERROR(_xlfn.XLOOKUP($B39,'Paste Here'!$A:$A,'Paste Here'!O:O),0)</f>
        <v>0.73797337759905812</v>
      </c>
      <c r="Q39" s="139">
        <f>IFERROR(_xlfn.XLOOKUP($B39,'Paste Here'!$A:$A,'Paste Here'!P:P),0)</f>
        <v>0.71088727061298396</v>
      </c>
      <c r="R39" s="139">
        <f>IFERROR(_xlfn.XLOOKUP($B39,'Paste Here'!$A:$A,'Paste Here'!Q:Q),0)</f>
        <v>0.73876833494680805</v>
      </c>
      <c r="S39" s="139">
        <f>IFERROR(_xlfn.XLOOKUP($B39,'Paste Here'!$A:$A,'Paste Here'!R:R),0)</f>
        <v>0.66623755042672417</v>
      </c>
      <c r="T39" s="139">
        <f>IFERROR(_xlfn.XLOOKUP($B39,'Paste Here'!$A:$A,'Paste Here'!S:S),0)</f>
        <v>0.69561401288451596</v>
      </c>
      <c r="U39" s="139">
        <f>IFERROR(_xlfn.XLOOKUP($B39,'Paste Here'!$A:$A,'Paste Here'!T:T),0)</f>
        <v>0.66942286508839288</v>
      </c>
      <c r="V39" s="139">
        <f>IFERROR(_xlfn.XLOOKUP($B39,'Paste Here'!$A:$A,'Paste Here'!U:U),0)</f>
        <v>0.6227317797586831</v>
      </c>
      <c r="W39" s="139">
        <f>IFERROR(_xlfn.XLOOKUP($B39,'Paste Here'!$A:$A,'Paste Here'!V:V),0)</f>
        <v>0.60636932204861604</v>
      </c>
      <c r="X39" s="139">
        <f>IFERROR(_xlfn.XLOOKUP($B39,'Paste Here'!$A:$A,'Paste Here'!W:W),0)</f>
        <v>0.6829625507597118</v>
      </c>
      <c r="Y39" s="139">
        <f>IFERROR(_xlfn.XLOOKUP($B39,'Paste Here'!$A:$A,'Paste Here'!X:X),0)</f>
        <v>0.72851519615053228</v>
      </c>
      <c r="Z39" s="139">
        <f>IFERROR(_xlfn.XLOOKUP($B39,'Paste Here'!$A:$A,'Paste Here'!Y:Y),0)</f>
        <v>0.73878871703325855</v>
      </c>
      <c r="AA39" s="139">
        <f>IFERROR(_xlfn.XLOOKUP($B39,'Paste Here'!$A:$A,'Paste Here'!Z:Z),0)</f>
        <v>0.58600124601591275</v>
      </c>
      <c r="AB39" s="139">
        <f>IFERROR(_xlfn.XLOOKUP($B39,'Paste Here'!$A:$A,'Paste Here'!AA:AA),0)</f>
        <v>0.58634975315382565</v>
      </c>
      <c r="AC39" s="139">
        <f>IFERROR(_xlfn.XLOOKUP($B39,'Paste Here'!$A:$A,'Paste Here'!AB:AB),0)</f>
        <v>0.64885935339871059</v>
      </c>
      <c r="AD39" s="139">
        <f>IFERROR(_xlfn.XLOOKUP($B39,'Paste Here'!$A:$A,'Paste Here'!AC:AC),0)</f>
        <v>0.69367701859815889</v>
      </c>
      <c r="AE39" s="139">
        <f>IFERROR(_xlfn.XLOOKUP($B39,'Paste Here'!$A:$A,'Paste Here'!AD:AD),0)</f>
        <v>0.69413476135838947</v>
      </c>
      <c r="AF39" s="139">
        <f>IFERROR(_xlfn.XLOOKUP($B39,'Paste Here'!$A:$A,'Paste Here'!AE:AE),0)</f>
        <v>0.68773972535130046</v>
      </c>
      <c r="AG39" s="139">
        <f>IFERROR(_xlfn.XLOOKUP($B39,'Paste Here'!$A:$A,'Paste Here'!AF:AF),0)</f>
        <v>0.76489399139925418</v>
      </c>
      <c r="AH39" s="139">
        <f>IFERROR(_xlfn.XLOOKUP($B39,'Paste Here'!$A:$A,'Paste Here'!AG:AG),0)</f>
        <v>0.65624330231894634</v>
      </c>
    </row>
    <row r="40" spans="1:34" x14ac:dyDescent="0.25">
      <c r="A40" s="74" t="s">
        <v>49</v>
      </c>
      <c r="B40" s="87" t="s">
        <v>70</v>
      </c>
      <c r="C40" s="138">
        <f>IFERROR(_xlfn.XLOOKUP($B40,'Paste Here'!$A:$A,'Paste Here'!B:B),0)</f>
        <v>0.7176351391593806</v>
      </c>
      <c r="D40" s="138">
        <f>IFERROR(_xlfn.XLOOKUP($B40,'Paste Here'!$A:$A,'Paste Here'!C:C),0)</f>
        <v>0.6178847139915008</v>
      </c>
      <c r="E40" s="138">
        <f>IFERROR(_xlfn.XLOOKUP($B40,'Paste Here'!$A:$A,'Paste Here'!D:D),0)</f>
        <v>0.62692210296567508</v>
      </c>
      <c r="F40" s="138">
        <f>IFERROR(_xlfn.XLOOKUP($B40,'Paste Here'!$A:$A,'Paste Here'!E:E),0)</f>
        <v>0.73493331856777366</v>
      </c>
      <c r="G40" s="138">
        <f>IFERROR(_xlfn.XLOOKUP($B40,'Paste Here'!$A:$A,'Paste Here'!F:F),0)</f>
        <v>0.72435711870432773</v>
      </c>
      <c r="H40" s="138">
        <f>IFERROR(_xlfn.XLOOKUP($B40,'Paste Here'!$A:$A,'Paste Here'!G:G),0)</f>
        <v>0.64925074960844786</v>
      </c>
      <c r="I40" s="139">
        <f>IFERROR(_xlfn.XLOOKUP($B40,'Paste Here'!$A:$A,'Paste Here'!H:H),0)</f>
        <v>0.79866656476981113</v>
      </c>
      <c r="J40" s="139">
        <f>IFERROR(_xlfn.XLOOKUP($B40,'Paste Here'!$A:$A,'Paste Here'!I:I),0)</f>
        <v>0.69408890738403939</v>
      </c>
      <c r="K40" s="139">
        <f>IFERROR(_xlfn.XLOOKUP($B40,'Paste Here'!$A:$A,'Paste Here'!J:J),0)</f>
        <v>0.69139128631089264</v>
      </c>
      <c r="L40" s="139">
        <f>IFERROR(_xlfn.XLOOKUP($B40,'Paste Here'!$A:$A,'Paste Here'!K:K),0)</f>
        <v>0.67441491414639421</v>
      </c>
      <c r="M40" s="139">
        <f>IFERROR(_xlfn.XLOOKUP($B40,'Paste Here'!$A:$A,'Paste Here'!L:L),0)</f>
        <v>0.6777219128935652</v>
      </c>
      <c r="N40" s="139">
        <f>IFERROR(_xlfn.XLOOKUP($B40,'Paste Here'!$A:$A,'Paste Here'!M:M),0)</f>
        <v>0.71225667336577081</v>
      </c>
      <c r="O40" s="139">
        <f>IFERROR(_xlfn.XLOOKUP($B40,'Paste Here'!$A:$A,'Paste Here'!N:N),0)</f>
        <v>0.72243928700822868</v>
      </c>
      <c r="P40" s="139">
        <f>IFERROR(_xlfn.XLOOKUP($B40,'Paste Here'!$A:$A,'Paste Here'!O:O),0)</f>
        <v>0.73797337759905834</v>
      </c>
      <c r="Q40" s="139">
        <f>IFERROR(_xlfn.XLOOKUP($B40,'Paste Here'!$A:$A,'Paste Here'!P:P),0)</f>
        <v>0.71088727061298429</v>
      </c>
      <c r="R40" s="139">
        <f>IFERROR(_xlfn.XLOOKUP($B40,'Paste Here'!$A:$A,'Paste Here'!Q:Q),0)</f>
        <v>0.73876833494680838</v>
      </c>
      <c r="S40" s="139">
        <f>IFERROR(_xlfn.XLOOKUP($B40,'Paste Here'!$A:$A,'Paste Here'!R:R),0)</f>
        <v>0.66623755042672428</v>
      </c>
      <c r="T40" s="139">
        <f>IFERROR(_xlfn.XLOOKUP($B40,'Paste Here'!$A:$A,'Paste Here'!S:S),0)</f>
        <v>0.69561401288451619</v>
      </c>
      <c r="U40" s="139">
        <f>IFERROR(_xlfn.XLOOKUP($B40,'Paste Here'!$A:$A,'Paste Here'!T:T),0)</f>
        <v>0.66942286508839333</v>
      </c>
      <c r="V40" s="139">
        <f>IFERROR(_xlfn.XLOOKUP($B40,'Paste Here'!$A:$A,'Paste Here'!U:U),0)</f>
        <v>0.62273177975868321</v>
      </c>
      <c r="W40" s="139">
        <f>IFERROR(_xlfn.XLOOKUP($B40,'Paste Here'!$A:$A,'Paste Here'!V:V),0)</f>
        <v>0.60636932204861616</v>
      </c>
      <c r="X40" s="139">
        <f>IFERROR(_xlfn.XLOOKUP($B40,'Paste Here'!$A:$A,'Paste Here'!W:W),0)</f>
        <v>0.68296255075971202</v>
      </c>
      <c r="Y40" s="139">
        <f>IFERROR(_xlfn.XLOOKUP($B40,'Paste Here'!$A:$A,'Paste Here'!X:X),0)</f>
        <v>0.72851519615053217</v>
      </c>
      <c r="Z40" s="139">
        <f>IFERROR(_xlfn.XLOOKUP($B40,'Paste Here'!$A:$A,'Paste Here'!Y:Y),0)</f>
        <v>0.73878871703325855</v>
      </c>
      <c r="AA40" s="139">
        <f>IFERROR(_xlfn.XLOOKUP($B40,'Paste Here'!$A:$A,'Paste Here'!Z:Z),0)</f>
        <v>0.58600124601591286</v>
      </c>
      <c r="AB40" s="139">
        <f>IFERROR(_xlfn.XLOOKUP($B40,'Paste Here'!$A:$A,'Paste Here'!AA:AA),0)</f>
        <v>0.58634975315382587</v>
      </c>
      <c r="AC40" s="139">
        <f>IFERROR(_xlfn.XLOOKUP($B40,'Paste Here'!$A:$A,'Paste Here'!AB:AB),0)</f>
        <v>0.6488593533987107</v>
      </c>
      <c r="AD40" s="139">
        <f>IFERROR(_xlfn.XLOOKUP($B40,'Paste Here'!$A:$A,'Paste Here'!AC:AC),0)</f>
        <v>0.69367701859815911</v>
      </c>
      <c r="AE40" s="139">
        <f>IFERROR(_xlfn.XLOOKUP($B40,'Paste Here'!$A:$A,'Paste Here'!AD:AD),0)</f>
        <v>0.6941347613583897</v>
      </c>
      <c r="AF40" s="139">
        <f>IFERROR(_xlfn.XLOOKUP($B40,'Paste Here'!$A:$A,'Paste Here'!AE:AE),0)</f>
        <v>0.68773972535130079</v>
      </c>
      <c r="AG40" s="139">
        <f>IFERROR(_xlfn.XLOOKUP($B40,'Paste Here'!$A:$A,'Paste Here'!AF:AF),0)</f>
        <v>0.7648939913992544</v>
      </c>
      <c r="AH40" s="139">
        <f>IFERROR(_xlfn.XLOOKUP($B40,'Paste Here'!$A:$A,'Paste Here'!AG:AG),0)</f>
        <v>0.65624330231894645</v>
      </c>
    </row>
    <row r="41" spans="1:34" s="7" customFormat="1" x14ac:dyDescent="0.25">
      <c r="B41" s="148" t="s">
        <v>6</v>
      </c>
      <c r="C41" s="149">
        <f>IFERROR(_xlfn.XLOOKUP($B41,'Paste Here'!$A:$A,'Paste Here'!B:B),0)</f>
        <v>0</v>
      </c>
      <c r="D41" s="149">
        <f>IFERROR(_xlfn.XLOOKUP($B41,'Paste Here'!$A:$A,'Paste Here'!C:C),0)</f>
        <v>0</v>
      </c>
      <c r="E41" s="149">
        <f>IFERROR(_xlfn.XLOOKUP($B41,'Paste Here'!$A:$A,'Paste Here'!D:D),0)</f>
        <v>0</v>
      </c>
      <c r="F41" s="149">
        <f>IFERROR(_xlfn.XLOOKUP($B41,'Paste Here'!$A:$A,'Paste Here'!E:E),0)</f>
        <v>0</v>
      </c>
      <c r="G41" s="149">
        <f>IFERROR(_xlfn.XLOOKUP($B41,'Paste Here'!$A:$A,'Paste Here'!F:F),0)</f>
        <v>0</v>
      </c>
      <c r="H41" s="149">
        <f>IFERROR(_xlfn.XLOOKUP($B41,'Paste Here'!$A:$A,'Paste Here'!G:G),0)</f>
        <v>0</v>
      </c>
      <c r="I41" s="150">
        <f>IFERROR(_xlfn.XLOOKUP($B41,'Paste Here'!$A:$A,'Paste Here'!H:H),0)</f>
        <v>0</v>
      </c>
      <c r="J41" s="150">
        <f>IFERROR(_xlfn.XLOOKUP($B41,'Paste Here'!$A:$A,'Paste Here'!I:I),0)</f>
        <v>0</v>
      </c>
      <c r="K41" s="150">
        <f>IFERROR(_xlfn.XLOOKUP($B41,'Paste Here'!$A:$A,'Paste Here'!J:J),0)</f>
        <v>0</v>
      </c>
      <c r="L41" s="150">
        <f>IFERROR(_xlfn.XLOOKUP($B41,'Paste Here'!$A:$A,'Paste Here'!K:K),0)</f>
        <v>0</v>
      </c>
      <c r="M41" s="150">
        <f>IFERROR(_xlfn.XLOOKUP($B41,'Paste Here'!$A:$A,'Paste Here'!L:L),0)</f>
        <v>0</v>
      </c>
      <c r="N41" s="150">
        <f>IFERROR(_xlfn.XLOOKUP($B41,'Paste Here'!$A:$A,'Paste Here'!M:M),0)</f>
        <v>0</v>
      </c>
      <c r="O41" s="150">
        <f>IFERROR(_xlfn.XLOOKUP($B41,'Paste Here'!$A:$A,'Paste Here'!N:N),0)</f>
        <v>0</v>
      </c>
      <c r="P41" s="150">
        <f>IFERROR(_xlfn.XLOOKUP($B41,'Paste Here'!$A:$A,'Paste Here'!O:O),0)</f>
        <v>0</v>
      </c>
      <c r="Q41" s="150">
        <f>IFERROR(_xlfn.XLOOKUP($B41,'Paste Here'!$A:$A,'Paste Here'!P:P),0)</f>
        <v>0</v>
      </c>
      <c r="R41" s="150">
        <f>IFERROR(_xlfn.XLOOKUP($B41,'Paste Here'!$A:$A,'Paste Here'!Q:Q),0)</f>
        <v>0</v>
      </c>
      <c r="S41" s="150">
        <f>IFERROR(_xlfn.XLOOKUP($B41,'Paste Here'!$A:$A,'Paste Here'!R:R),0)</f>
        <v>0</v>
      </c>
      <c r="T41" s="150">
        <f>IFERROR(_xlfn.XLOOKUP($B41,'Paste Here'!$A:$A,'Paste Here'!S:S),0)</f>
        <v>0</v>
      </c>
      <c r="U41" s="150">
        <f>IFERROR(_xlfn.XLOOKUP($B41,'Paste Here'!$A:$A,'Paste Here'!T:T),0)</f>
        <v>0</v>
      </c>
      <c r="V41" s="150">
        <f>IFERROR(_xlfn.XLOOKUP($B41,'Paste Here'!$A:$A,'Paste Here'!U:U),0)</f>
        <v>0</v>
      </c>
      <c r="W41" s="150">
        <f>IFERROR(_xlfn.XLOOKUP($B41,'Paste Here'!$A:$A,'Paste Here'!V:V),0)</f>
        <v>0</v>
      </c>
      <c r="X41" s="150">
        <f>IFERROR(_xlfn.XLOOKUP($B41,'Paste Here'!$A:$A,'Paste Here'!W:W),0)</f>
        <v>0</v>
      </c>
      <c r="Y41" s="150">
        <f>IFERROR(_xlfn.XLOOKUP($B41,'Paste Here'!$A:$A,'Paste Here'!X:X),0)</f>
        <v>0</v>
      </c>
      <c r="Z41" s="150">
        <f>IFERROR(_xlfn.XLOOKUP($B41,'Paste Here'!$A:$A,'Paste Here'!Y:Y),0)</f>
        <v>0</v>
      </c>
      <c r="AA41" s="150">
        <f>IFERROR(_xlfn.XLOOKUP($B41,'Paste Here'!$A:$A,'Paste Here'!Z:Z),0)</f>
        <v>0</v>
      </c>
      <c r="AB41" s="150">
        <f>IFERROR(_xlfn.XLOOKUP($B41,'Paste Here'!$A:$A,'Paste Here'!AA:AA),0)</f>
        <v>0</v>
      </c>
      <c r="AC41" s="150">
        <f>IFERROR(_xlfn.XLOOKUP($B41,'Paste Here'!$A:$A,'Paste Here'!AB:AB),0)</f>
        <v>0</v>
      </c>
      <c r="AD41" s="150">
        <f>IFERROR(_xlfn.XLOOKUP($B41,'Paste Here'!$A:$A,'Paste Here'!AC:AC),0)</f>
        <v>0</v>
      </c>
      <c r="AE41" s="150">
        <f>IFERROR(_xlfn.XLOOKUP($B41,'Paste Here'!$A:$A,'Paste Here'!AD:AD),0)</f>
        <v>0</v>
      </c>
      <c r="AF41" s="150">
        <f>IFERROR(_xlfn.XLOOKUP($B41,'Paste Here'!$A:$A,'Paste Here'!AE:AE),0)</f>
        <v>0</v>
      </c>
      <c r="AG41" s="150">
        <f>IFERROR(_xlfn.XLOOKUP($B41,'Paste Here'!$A:$A,'Paste Here'!AF:AF),0)</f>
        <v>0</v>
      </c>
      <c r="AH41" s="150">
        <f>IFERROR(_xlfn.XLOOKUP($B41,'Paste Here'!$A:$A,'Paste Here'!AG:AG),0)</f>
        <v>0</v>
      </c>
    </row>
    <row r="42" spans="1:34" x14ac:dyDescent="0.25">
      <c r="A42" s="77" t="s">
        <v>31</v>
      </c>
      <c r="B42" t="s">
        <v>23</v>
      </c>
      <c r="C42" s="130">
        <f>IFERROR(_xlfn.XLOOKUP($B42,'Paste Here'!$A:$A,'Paste Here'!B:B),0)</f>
        <v>125185</v>
      </c>
      <c r="D42" s="130">
        <f>IFERROR(_xlfn.XLOOKUP($B42,'Paste Here'!$A:$A,'Paste Here'!C:C),0)</f>
        <v>122834</v>
      </c>
      <c r="E42" s="130">
        <f>IFERROR(_xlfn.XLOOKUP($B42,'Paste Here'!$A:$A,'Paste Here'!D:D),0)</f>
        <v>121419</v>
      </c>
      <c r="F42" s="130">
        <f>IFERROR(_xlfn.XLOOKUP($B42,'Paste Here'!$A:$A,'Paste Here'!E:E),0)</f>
        <v>118919</v>
      </c>
      <c r="G42" s="130">
        <f>IFERROR(_xlfn.XLOOKUP($B42,'Paste Here'!$A:$A,'Paste Here'!F:F),0)</f>
        <v>113098</v>
      </c>
      <c r="H42" s="130">
        <f>IFERROR(_xlfn.XLOOKUP($B42,'Paste Here'!$A:$A,'Paste Here'!G:G),0)</f>
        <v>110329</v>
      </c>
      <c r="I42" s="135">
        <f>IFERROR(_xlfn.XLOOKUP($B42,'Paste Here'!$A:$A,'Paste Here'!H:H),0)</f>
        <v>108095.05028344999</v>
      </c>
      <c r="J42" s="135">
        <f>IFERROR(_xlfn.XLOOKUP($B42,'Paste Here'!$A:$A,'Paste Here'!I:I),0)</f>
        <v>109356.94800768877</v>
      </c>
      <c r="K42" s="135">
        <f>IFERROR(_xlfn.XLOOKUP($B42,'Paste Here'!$A:$A,'Paste Here'!J:J),0)</f>
        <v>110508.2621230674</v>
      </c>
      <c r="L42" s="135">
        <f>IFERROR(_xlfn.XLOOKUP($B42,'Paste Here'!$A:$A,'Paste Here'!K:K),0)</f>
        <v>112193.83656268986</v>
      </c>
      <c r="M42" s="135">
        <f>IFERROR(_xlfn.XLOOKUP($B42,'Paste Here'!$A:$A,'Paste Here'!L:L),0)</f>
        <v>114433.71351674951</v>
      </c>
      <c r="N42" s="135">
        <f>IFERROR(_xlfn.XLOOKUP($B42,'Paste Here'!$A:$A,'Paste Here'!M:M),0)</f>
        <v>116653.05848261619</v>
      </c>
      <c r="O42" s="135">
        <f>IFERROR(_xlfn.XLOOKUP($B42,'Paste Here'!$A:$A,'Paste Here'!N:N),0)</f>
        <v>115634.66356429426</v>
      </c>
      <c r="P42" s="135">
        <f>IFERROR(_xlfn.XLOOKUP($B42,'Paste Here'!$A:$A,'Paste Here'!O:O),0)</f>
        <v>115046.23363905106</v>
      </c>
      <c r="Q42" s="135">
        <f>IFERROR(_xlfn.XLOOKUP($B42,'Paste Here'!$A:$A,'Paste Here'!P:P),0)</f>
        <v>112703.99702327572</v>
      </c>
      <c r="R42" s="135">
        <f>IFERROR(_xlfn.XLOOKUP($B42,'Paste Here'!$A:$A,'Paste Here'!Q:Q),0)</f>
        <v>112715.87962493801</v>
      </c>
      <c r="S42" s="135">
        <f>IFERROR(_xlfn.XLOOKUP($B42,'Paste Here'!$A:$A,'Paste Here'!R:R),0)</f>
        <v>108874.13678220857</v>
      </c>
      <c r="T42" s="135">
        <f>IFERROR(_xlfn.XLOOKUP($B42,'Paste Here'!$A:$A,'Paste Here'!S:S),0)</f>
        <v>102366.14525457981</v>
      </c>
      <c r="U42" s="135">
        <f>IFERROR(_xlfn.XLOOKUP($B42,'Paste Here'!$A:$A,'Paste Here'!T:T),0)</f>
        <v>99431.555677972501</v>
      </c>
      <c r="V42" s="135">
        <f>IFERROR(_xlfn.XLOOKUP($B42,'Paste Here'!$A:$A,'Paste Here'!U:U),0)</f>
        <v>100884.57208328503</v>
      </c>
      <c r="W42" s="135">
        <f>IFERROR(_xlfn.XLOOKUP($B42,'Paste Here'!$A:$A,'Paste Here'!V:V),0)</f>
        <v>102768.29323243051</v>
      </c>
      <c r="X42" s="135">
        <f>IFERROR(_xlfn.XLOOKUP($B42,'Paste Here'!$A:$A,'Paste Here'!W:W),0)</f>
        <v>103409.10631018277</v>
      </c>
      <c r="Y42" s="135">
        <f>IFERROR(_xlfn.XLOOKUP($B42,'Paste Here'!$A:$A,'Paste Here'!X:X),0)</f>
        <v>101915.2726102689</v>
      </c>
      <c r="Z42" s="135">
        <f>IFERROR(_xlfn.XLOOKUP($B42,'Paste Here'!$A:$A,'Paste Here'!Y:Y),0)</f>
        <v>100474.77031513726</v>
      </c>
      <c r="AA42" s="135">
        <f>IFERROR(_xlfn.XLOOKUP($B42,'Paste Here'!$A:$A,'Paste Here'!Z:Z),0)</f>
        <v>97673.704749885277</v>
      </c>
      <c r="AB42" s="135">
        <f>IFERROR(_xlfn.XLOOKUP($B42,'Paste Here'!$A:$A,'Paste Here'!AA:AA),0)</f>
        <v>95771.481789090089</v>
      </c>
      <c r="AC42" s="135">
        <f>IFERROR(_xlfn.XLOOKUP($B42,'Paste Here'!$A:$A,'Paste Here'!AB:AB),0)</f>
        <v>94863.599044557312</v>
      </c>
      <c r="AD42" s="135">
        <f>IFERROR(_xlfn.XLOOKUP($B42,'Paste Here'!$A:$A,'Paste Here'!AC:AC),0)</f>
        <v>96406.90916599601</v>
      </c>
      <c r="AE42" s="135">
        <f>IFERROR(_xlfn.XLOOKUP($B42,'Paste Here'!$A:$A,'Paste Here'!AD:AD),0)</f>
        <v>97301.675671768287</v>
      </c>
      <c r="AF42" s="135">
        <f>IFERROR(_xlfn.XLOOKUP($B42,'Paste Here'!$A:$A,'Paste Here'!AE:AE),0)</f>
        <v>97004.828763307305</v>
      </c>
      <c r="AG42" s="135">
        <f>IFERROR(_xlfn.XLOOKUP($B42,'Paste Here'!$A:$A,'Paste Here'!AF:AF),0)</f>
        <v>94774.152275880697</v>
      </c>
      <c r="AH42" s="135">
        <f>IFERROR(_xlfn.XLOOKUP($B42,'Paste Here'!$A:$A,'Paste Here'!AG:AG),0)</f>
        <v>94748.749331494168</v>
      </c>
    </row>
    <row r="43" spans="1:34" x14ac:dyDescent="0.25">
      <c r="A43" s="76" t="s">
        <v>50</v>
      </c>
      <c r="B43" s="88" t="s">
        <v>22</v>
      </c>
      <c r="C43" s="134">
        <f>IFERROR(_xlfn.XLOOKUP($B43,'Paste Here'!$A:$A,'Paste Here'!B:B),0)</f>
        <v>23712</v>
      </c>
      <c r="D43" s="134">
        <f>IFERROR(_xlfn.XLOOKUP($B43,'Paste Here'!$A:$A,'Paste Here'!C:C),0)</f>
        <v>21090</v>
      </c>
      <c r="E43" s="134">
        <f>IFERROR(_xlfn.XLOOKUP($B43,'Paste Here'!$A:$A,'Paste Here'!D:D),0)</f>
        <v>21318</v>
      </c>
      <c r="F43" s="134">
        <f>IFERROR(_xlfn.XLOOKUP($B43,'Paste Here'!$A:$A,'Paste Here'!E:E),0)</f>
        <v>28899</v>
      </c>
      <c r="G43" s="134">
        <f>IFERROR(_xlfn.XLOOKUP($B43,'Paste Here'!$A:$A,'Paste Here'!F:F),0)</f>
        <v>32490</v>
      </c>
      <c r="H43" s="134">
        <f>IFERROR(_xlfn.XLOOKUP($B43,'Paste Here'!$A:$A,'Paste Here'!G:G),0)</f>
        <v>33516</v>
      </c>
      <c r="I43" s="157">
        <f>IFERROR(_xlfn.XLOOKUP($B43,'Paste Here'!$A:$A,'Paste Here'!H:H),0)</f>
        <v>29534.960216549996</v>
      </c>
      <c r="J43" s="157">
        <f>IFERROR(_xlfn.XLOOKUP($B43,'Paste Here'!$A:$A,'Paste Here'!I:I),0)</f>
        <v>26777.314373723268</v>
      </c>
      <c r="K43" s="157">
        <f>IFERROR(_xlfn.XLOOKUP($B43,'Paste Here'!$A:$A,'Paste Here'!J:J),0)</f>
        <v>22240.622981606346</v>
      </c>
      <c r="L43" s="157">
        <f>IFERROR(_xlfn.XLOOKUP($B43,'Paste Here'!$A:$A,'Paste Here'!K:K),0)</f>
        <v>18820.98952449283</v>
      </c>
      <c r="M43" s="157">
        <f>IFERROR(_xlfn.XLOOKUP($B43,'Paste Here'!$A:$A,'Paste Here'!L:L),0)</f>
        <v>16147.119374723115</v>
      </c>
      <c r="N43" s="157">
        <f>IFERROR(_xlfn.XLOOKUP($B43,'Paste Here'!$A:$A,'Paste Here'!M:M),0)</f>
        <v>13300.207621079007</v>
      </c>
      <c r="O43" s="157">
        <f>IFERROR(_xlfn.XLOOKUP($B43,'Paste Here'!$A:$A,'Paste Here'!N:N),0)</f>
        <v>10830.000000000004</v>
      </c>
      <c r="P43" s="157">
        <f>IFERROR(_xlfn.XLOOKUP($B43,'Paste Here'!$A:$A,'Paste Here'!O:O),0)</f>
        <v>10830</v>
      </c>
      <c r="Q43" s="157">
        <f>IFERROR(_xlfn.XLOOKUP($B43,'Paste Here'!$A:$A,'Paste Here'!P:P),0)</f>
        <v>10830</v>
      </c>
      <c r="R43" s="157">
        <f>IFERROR(_xlfn.XLOOKUP($B43,'Paste Here'!$A:$A,'Paste Here'!Q:Q),0)</f>
        <v>10830.000000000002</v>
      </c>
      <c r="S43" s="157">
        <f>IFERROR(_xlfn.XLOOKUP($B43,'Paste Here'!$A:$A,'Paste Here'!R:R),0)</f>
        <v>10829.999999999998</v>
      </c>
      <c r="T43" s="157">
        <f>IFERROR(_xlfn.XLOOKUP($B43,'Paste Here'!$A:$A,'Paste Here'!S:S),0)</f>
        <v>10829.999999999998</v>
      </c>
      <c r="U43" s="157">
        <f>IFERROR(_xlfn.XLOOKUP($B43,'Paste Here'!$A:$A,'Paste Here'!T:T),0)</f>
        <v>10829.999999999998</v>
      </c>
      <c r="V43" s="157">
        <f>IFERROR(_xlfn.XLOOKUP($B43,'Paste Here'!$A:$A,'Paste Here'!U:U),0)</f>
        <v>10830</v>
      </c>
      <c r="W43" s="157">
        <f>IFERROR(_xlfn.XLOOKUP($B43,'Paste Here'!$A:$A,'Paste Here'!V:V),0)</f>
        <v>10830.000000000002</v>
      </c>
      <c r="X43" s="157">
        <f>IFERROR(_xlfn.XLOOKUP($B43,'Paste Here'!$A:$A,'Paste Here'!W:W),0)</f>
        <v>10830.000000000002</v>
      </c>
      <c r="Y43" s="157">
        <f>IFERROR(_xlfn.XLOOKUP($B43,'Paste Here'!$A:$A,'Paste Here'!X:X),0)</f>
        <v>10830</v>
      </c>
      <c r="Z43" s="157">
        <f>IFERROR(_xlfn.XLOOKUP($B43,'Paste Here'!$A:$A,'Paste Here'!Y:Y),0)</f>
        <v>10830</v>
      </c>
      <c r="AA43" s="157">
        <f>IFERROR(_xlfn.XLOOKUP($B43,'Paste Here'!$A:$A,'Paste Here'!Z:Z),0)</f>
        <v>10830.000000000002</v>
      </c>
      <c r="AB43" s="157">
        <f>IFERROR(_xlfn.XLOOKUP($B43,'Paste Here'!$A:$A,'Paste Here'!AA:AA),0)</f>
        <v>10830.000000000002</v>
      </c>
      <c r="AC43" s="157">
        <f>IFERROR(_xlfn.XLOOKUP($B43,'Paste Here'!$A:$A,'Paste Here'!AB:AB),0)</f>
        <v>10829.999999999998</v>
      </c>
      <c r="AD43" s="157">
        <f>IFERROR(_xlfn.XLOOKUP($B43,'Paste Here'!$A:$A,'Paste Here'!AC:AC),0)</f>
        <v>10829.999999999998</v>
      </c>
      <c r="AE43" s="157">
        <f>IFERROR(_xlfn.XLOOKUP($B43,'Paste Here'!$A:$A,'Paste Here'!AD:AD),0)</f>
        <v>10829.999999999996</v>
      </c>
      <c r="AF43" s="157">
        <f>IFERROR(_xlfn.XLOOKUP($B43,'Paste Here'!$A:$A,'Paste Here'!AE:AE),0)</f>
        <v>10829.999999999995</v>
      </c>
      <c r="AG43" s="157">
        <f>IFERROR(_xlfn.XLOOKUP($B43,'Paste Here'!$A:$A,'Paste Here'!AF:AF),0)</f>
        <v>10829.999999999995</v>
      </c>
      <c r="AH43" s="157">
        <f>IFERROR(_xlfn.XLOOKUP($B43,'Paste Here'!$A:$A,'Paste Here'!AG:AG),0)</f>
        <v>10829.999999999995</v>
      </c>
    </row>
    <row r="44" spans="1:34" x14ac:dyDescent="0.25">
      <c r="B44" t="s">
        <v>79</v>
      </c>
      <c r="C44" s="134">
        <f>IFERROR(_xlfn.XLOOKUP($B44,'Paste Here'!$A:$A,'Paste Here'!B:B),0)</f>
        <v>10830</v>
      </c>
      <c r="D44" s="134">
        <f>IFERROR(_xlfn.XLOOKUP($B44,'Paste Here'!$A:$A,'Paste Here'!C:C),0)</f>
        <v>10830</v>
      </c>
      <c r="E44" s="134">
        <f>IFERROR(_xlfn.XLOOKUP($B44,'Paste Here'!$A:$A,'Paste Here'!D:D),0)</f>
        <v>10830</v>
      </c>
      <c r="F44" s="134">
        <f>IFERROR(_xlfn.XLOOKUP($B44,'Paste Here'!$A:$A,'Paste Here'!E:E),0)</f>
        <v>10830</v>
      </c>
      <c r="G44" s="134">
        <f>IFERROR(_xlfn.XLOOKUP($B44,'Paste Here'!$A:$A,'Paste Here'!F:F),0)</f>
        <v>10830</v>
      </c>
      <c r="H44" s="134">
        <f>IFERROR(_xlfn.XLOOKUP($B44,'Paste Here'!$A:$A,'Paste Here'!G:G),0)</f>
        <v>10830</v>
      </c>
      <c r="I44" s="135">
        <f>IFERROR(_xlfn.XLOOKUP($B44,'Paste Here'!$A:$A,'Paste Here'!H:H),0)</f>
        <v>10830</v>
      </c>
      <c r="J44" s="135">
        <f>IFERROR(_xlfn.XLOOKUP($B44,'Paste Here'!$A:$A,'Paste Here'!I:I),0)</f>
        <v>10830</v>
      </c>
      <c r="K44" s="135">
        <f>IFERROR(_xlfn.XLOOKUP($B44,'Paste Here'!$A:$A,'Paste Here'!J:J),0)</f>
        <v>10830</v>
      </c>
      <c r="L44" s="135">
        <f>IFERROR(_xlfn.XLOOKUP($B44,'Paste Here'!$A:$A,'Paste Here'!K:K),0)</f>
        <v>10830</v>
      </c>
      <c r="M44" s="135">
        <f>IFERROR(_xlfn.XLOOKUP($B44,'Paste Here'!$A:$A,'Paste Here'!L:L),0)</f>
        <v>10830</v>
      </c>
      <c r="N44" s="135">
        <f>IFERROR(_xlfn.XLOOKUP($B44,'Paste Here'!$A:$A,'Paste Here'!M:M),0)</f>
        <v>10830</v>
      </c>
      <c r="O44" s="135">
        <f>IFERROR(_xlfn.XLOOKUP($B44,'Paste Here'!$A:$A,'Paste Here'!N:N),0)</f>
        <v>10830</v>
      </c>
      <c r="P44" s="135">
        <f>IFERROR(_xlfn.XLOOKUP($B44,'Paste Here'!$A:$A,'Paste Here'!O:O),0)</f>
        <v>10830</v>
      </c>
      <c r="Q44" s="135">
        <f>IFERROR(_xlfn.XLOOKUP($B44,'Paste Here'!$A:$A,'Paste Here'!P:P),0)</f>
        <v>10830</v>
      </c>
      <c r="R44" s="135">
        <f>IFERROR(_xlfn.XLOOKUP($B44,'Paste Here'!$A:$A,'Paste Here'!Q:Q),0)</f>
        <v>10830</v>
      </c>
      <c r="S44" s="135">
        <f>IFERROR(_xlfn.XLOOKUP($B44,'Paste Here'!$A:$A,'Paste Here'!R:R),0)</f>
        <v>10830</v>
      </c>
      <c r="T44" s="135">
        <f>IFERROR(_xlfn.XLOOKUP($B44,'Paste Here'!$A:$A,'Paste Here'!S:S),0)</f>
        <v>10830</v>
      </c>
      <c r="U44" s="135">
        <f>IFERROR(_xlfn.XLOOKUP($B44,'Paste Here'!$A:$A,'Paste Here'!T:T),0)</f>
        <v>10830</v>
      </c>
      <c r="V44" s="135">
        <f>IFERROR(_xlfn.XLOOKUP($B44,'Paste Here'!$A:$A,'Paste Here'!U:U),0)</f>
        <v>10830</v>
      </c>
      <c r="W44" s="135">
        <f>IFERROR(_xlfn.XLOOKUP($B44,'Paste Here'!$A:$A,'Paste Here'!V:V),0)</f>
        <v>10830</v>
      </c>
      <c r="X44" s="135">
        <f>IFERROR(_xlfn.XLOOKUP($B44,'Paste Here'!$A:$A,'Paste Here'!W:W),0)</f>
        <v>10830</v>
      </c>
      <c r="Y44" s="135">
        <f>IFERROR(_xlfn.XLOOKUP($B44,'Paste Here'!$A:$A,'Paste Here'!X:X),0)</f>
        <v>10830</v>
      </c>
      <c r="Z44" s="135">
        <f>IFERROR(_xlfn.XLOOKUP($B44,'Paste Here'!$A:$A,'Paste Here'!Y:Y),0)</f>
        <v>10830</v>
      </c>
      <c r="AA44" s="135">
        <f>IFERROR(_xlfn.XLOOKUP($B44,'Paste Here'!$A:$A,'Paste Here'!Z:Z),0)</f>
        <v>10830</v>
      </c>
      <c r="AB44" s="135">
        <f>IFERROR(_xlfn.XLOOKUP($B44,'Paste Here'!$A:$A,'Paste Here'!AA:AA),0)</f>
        <v>10830</v>
      </c>
      <c r="AC44" s="135">
        <f>IFERROR(_xlfn.XLOOKUP($B44,'Paste Here'!$A:$A,'Paste Here'!AB:AB),0)</f>
        <v>10830</v>
      </c>
      <c r="AD44" s="135">
        <f>IFERROR(_xlfn.XLOOKUP($B44,'Paste Here'!$A:$A,'Paste Here'!AC:AC),0)</f>
        <v>10830</v>
      </c>
      <c r="AE44" s="135">
        <f>IFERROR(_xlfn.XLOOKUP($B44,'Paste Here'!$A:$A,'Paste Here'!AD:AD),0)</f>
        <v>10830</v>
      </c>
      <c r="AF44" s="135">
        <f>IFERROR(_xlfn.XLOOKUP($B44,'Paste Here'!$A:$A,'Paste Here'!AE:AE),0)</f>
        <v>10830</v>
      </c>
      <c r="AG44" s="135">
        <f>IFERROR(_xlfn.XLOOKUP($B44,'Paste Here'!$A:$A,'Paste Here'!AF:AF),0)</f>
        <v>10830</v>
      </c>
      <c r="AH44" s="135">
        <f>IFERROR(_xlfn.XLOOKUP($B44,'Paste Here'!$A:$A,'Paste Here'!AG:AG),0)</f>
        <v>10830</v>
      </c>
    </row>
    <row r="45" spans="1:34" x14ac:dyDescent="0.25">
      <c r="A45" s="7"/>
      <c r="B45" s="87" t="s">
        <v>24</v>
      </c>
      <c r="C45" s="130">
        <f>IFERROR(_xlfn.XLOOKUP($B45,'Paste Here'!$A:$A,'Paste Here'!B:B),0)</f>
        <v>148897</v>
      </c>
      <c r="D45" s="130">
        <f>IFERROR(_xlfn.XLOOKUP($B45,'Paste Here'!$A:$A,'Paste Here'!C:C),0)</f>
        <v>143924</v>
      </c>
      <c r="E45" s="130">
        <f>IFERROR(_xlfn.XLOOKUP($B45,'Paste Here'!$A:$A,'Paste Here'!D:D),0)</f>
        <v>142737</v>
      </c>
      <c r="F45" s="130">
        <f>IFERROR(_xlfn.XLOOKUP($B45,'Paste Here'!$A:$A,'Paste Here'!E:E),0)</f>
        <v>147818</v>
      </c>
      <c r="G45" s="130">
        <f>IFERROR(_xlfn.XLOOKUP($B45,'Paste Here'!$A:$A,'Paste Here'!F:F),0)</f>
        <v>145588</v>
      </c>
      <c r="H45" s="130">
        <f>IFERROR(_xlfn.XLOOKUP($B45,'Paste Here'!$A:$A,'Paste Here'!G:G),0)</f>
        <v>143845</v>
      </c>
      <c r="I45" s="160">
        <f>IFERROR(_xlfn.XLOOKUP($B45,'Paste Here'!$A:$A,'Paste Here'!H:H),0)</f>
        <v>137630.01049999997</v>
      </c>
      <c r="J45" s="160">
        <f>IFERROR(_xlfn.XLOOKUP($B45,'Paste Here'!$A:$A,'Paste Here'!I:I),0)</f>
        <v>136134.26238141203</v>
      </c>
      <c r="K45" s="160">
        <f>IFERROR(_xlfn.XLOOKUP($B45,'Paste Here'!$A:$A,'Paste Here'!J:J),0)</f>
        <v>132748.88510467374</v>
      </c>
      <c r="L45" s="160">
        <f>IFERROR(_xlfn.XLOOKUP($B45,'Paste Here'!$A:$A,'Paste Here'!K:K),0)</f>
        <v>131014.82608718269</v>
      </c>
      <c r="M45" s="160">
        <f>IFERROR(_xlfn.XLOOKUP($B45,'Paste Here'!$A:$A,'Paste Here'!L:L),0)</f>
        <v>130580.83289147263</v>
      </c>
      <c r="N45" s="160">
        <f>IFERROR(_xlfn.XLOOKUP($B45,'Paste Here'!$A:$A,'Paste Here'!M:M),0)</f>
        <v>129953.2661036952</v>
      </c>
      <c r="O45" s="160">
        <f>IFERROR(_xlfn.XLOOKUP($B45,'Paste Here'!$A:$A,'Paste Here'!N:N),0)</f>
        <v>126464.66356429426</v>
      </c>
      <c r="P45" s="160">
        <f>IFERROR(_xlfn.XLOOKUP($B45,'Paste Here'!$A:$A,'Paste Here'!O:O),0)</f>
        <v>125876.23363905106</v>
      </c>
      <c r="Q45" s="160">
        <f>IFERROR(_xlfn.XLOOKUP($B45,'Paste Here'!$A:$A,'Paste Here'!P:P),0)</f>
        <v>123533.99702327572</v>
      </c>
      <c r="R45" s="160">
        <f>IFERROR(_xlfn.XLOOKUP($B45,'Paste Here'!$A:$A,'Paste Here'!Q:Q),0)</f>
        <v>123545.87962493801</v>
      </c>
      <c r="S45" s="160">
        <f>IFERROR(_xlfn.XLOOKUP($B45,'Paste Here'!$A:$A,'Paste Here'!R:R),0)</f>
        <v>119704.13678220857</v>
      </c>
      <c r="T45" s="160">
        <f>IFERROR(_xlfn.XLOOKUP($B45,'Paste Here'!$A:$A,'Paste Here'!S:S),0)</f>
        <v>113196.14525457981</v>
      </c>
      <c r="U45" s="160">
        <f>IFERROR(_xlfn.XLOOKUP($B45,'Paste Here'!$A:$A,'Paste Here'!T:T),0)</f>
        <v>110261.5556779725</v>
      </c>
      <c r="V45" s="160">
        <f>IFERROR(_xlfn.XLOOKUP($B45,'Paste Here'!$A:$A,'Paste Here'!U:U),0)</f>
        <v>111714.57208328503</v>
      </c>
      <c r="W45" s="160">
        <f>IFERROR(_xlfn.XLOOKUP($B45,'Paste Here'!$A:$A,'Paste Here'!V:V),0)</f>
        <v>113598.29323243051</v>
      </c>
      <c r="X45" s="160">
        <f>IFERROR(_xlfn.XLOOKUP($B45,'Paste Here'!$A:$A,'Paste Here'!W:W),0)</f>
        <v>114239.10631018277</v>
      </c>
      <c r="Y45" s="160">
        <f>IFERROR(_xlfn.XLOOKUP($B45,'Paste Here'!$A:$A,'Paste Here'!X:X),0)</f>
        <v>112745.2726102689</v>
      </c>
      <c r="Z45" s="160">
        <f>IFERROR(_xlfn.XLOOKUP($B45,'Paste Here'!$A:$A,'Paste Here'!Y:Y),0)</f>
        <v>111304.77031513726</v>
      </c>
      <c r="AA45" s="160">
        <f>IFERROR(_xlfn.XLOOKUP($B45,'Paste Here'!$A:$A,'Paste Here'!Z:Z),0)</f>
        <v>108503.70474988528</v>
      </c>
      <c r="AB45" s="160">
        <f>IFERROR(_xlfn.XLOOKUP($B45,'Paste Here'!$A:$A,'Paste Here'!AA:AA),0)</f>
        <v>106601.48178909009</v>
      </c>
      <c r="AC45" s="160">
        <f>IFERROR(_xlfn.XLOOKUP($B45,'Paste Here'!$A:$A,'Paste Here'!AB:AB),0)</f>
        <v>105693.59904455731</v>
      </c>
      <c r="AD45" s="160">
        <f>IFERROR(_xlfn.XLOOKUP($B45,'Paste Here'!$A:$A,'Paste Here'!AC:AC),0)</f>
        <v>107236.90916599601</v>
      </c>
      <c r="AE45" s="160">
        <f>IFERROR(_xlfn.XLOOKUP($B45,'Paste Here'!$A:$A,'Paste Here'!AD:AD),0)</f>
        <v>108131.67567176829</v>
      </c>
      <c r="AF45" s="160">
        <f>IFERROR(_xlfn.XLOOKUP($B45,'Paste Here'!$A:$A,'Paste Here'!AE:AE),0)</f>
        <v>107834.82876330731</v>
      </c>
      <c r="AG45" s="160">
        <f>IFERROR(_xlfn.XLOOKUP($B45,'Paste Here'!$A:$A,'Paste Here'!AF:AF),0)</f>
        <v>105604.1522758807</v>
      </c>
      <c r="AH45" s="160">
        <f>IFERROR(_xlfn.XLOOKUP($B45,'Paste Here'!$A:$A,'Paste Here'!AG:AG),0)</f>
        <v>105578.74933149417</v>
      </c>
    </row>
    <row r="46" spans="1:34" x14ac:dyDescent="0.25">
      <c r="B46" t="s">
        <v>25</v>
      </c>
      <c r="C46" s="130">
        <f>IFERROR(_xlfn.XLOOKUP($B46,'Paste Here'!$A:$A,'Paste Here'!B:B),0)</f>
        <v>125185</v>
      </c>
      <c r="D46" s="130">
        <f>IFERROR(_xlfn.XLOOKUP($B46,'Paste Here'!$A:$A,'Paste Here'!C:C),0)</f>
        <v>122834</v>
      </c>
      <c r="E46" s="130">
        <f>IFERROR(_xlfn.XLOOKUP($B46,'Paste Here'!$A:$A,'Paste Here'!D:D),0)</f>
        <v>121419</v>
      </c>
      <c r="F46" s="130">
        <f>IFERROR(_xlfn.XLOOKUP($B46,'Paste Here'!$A:$A,'Paste Here'!E:E),0)</f>
        <v>118919</v>
      </c>
      <c r="G46" s="130">
        <f>IFERROR(_xlfn.XLOOKUP($B46,'Paste Here'!$A:$A,'Paste Here'!F:F),0)</f>
        <v>113098</v>
      </c>
      <c r="H46" s="130">
        <f>IFERROR(_xlfn.XLOOKUP($B46,'Paste Here'!$A:$A,'Paste Here'!G:G),0)</f>
        <v>110329</v>
      </c>
      <c r="I46" s="135">
        <f>IFERROR(_xlfn.XLOOKUP($B46,'Paste Here'!$A:$A,'Paste Here'!H:H),0)</f>
        <v>108095.05028344999</v>
      </c>
      <c r="J46" s="135">
        <f>IFERROR(_xlfn.XLOOKUP($B46,'Paste Here'!$A:$A,'Paste Here'!I:I),0)</f>
        <v>109356.94800768877</v>
      </c>
      <c r="K46" s="135">
        <f>IFERROR(_xlfn.XLOOKUP($B46,'Paste Here'!$A:$A,'Paste Here'!J:J),0)</f>
        <v>110508.2621230674</v>
      </c>
      <c r="L46" s="135">
        <f>IFERROR(_xlfn.XLOOKUP($B46,'Paste Here'!$A:$A,'Paste Here'!K:K),0)</f>
        <v>112193.83656268986</v>
      </c>
      <c r="M46" s="135">
        <f>IFERROR(_xlfn.XLOOKUP($B46,'Paste Here'!$A:$A,'Paste Here'!L:L),0)</f>
        <v>114433.71351674951</v>
      </c>
      <c r="N46" s="135">
        <f>IFERROR(_xlfn.XLOOKUP($B46,'Paste Here'!$A:$A,'Paste Here'!M:M),0)</f>
        <v>116653.05848261619</v>
      </c>
      <c r="O46" s="135">
        <f>IFERROR(_xlfn.XLOOKUP($B46,'Paste Here'!$A:$A,'Paste Here'!N:N),0)</f>
        <v>115634.66356429426</v>
      </c>
      <c r="P46" s="135">
        <f>IFERROR(_xlfn.XLOOKUP($B46,'Paste Here'!$A:$A,'Paste Here'!O:O),0)</f>
        <v>115046.23363905106</v>
      </c>
      <c r="Q46" s="135">
        <f>IFERROR(_xlfn.XLOOKUP($B46,'Paste Here'!$A:$A,'Paste Here'!P:P),0)</f>
        <v>112703.99702327572</v>
      </c>
      <c r="R46" s="135">
        <f>IFERROR(_xlfn.XLOOKUP($B46,'Paste Here'!$A:$A,'Paste Here'!Q:Q),0)</f>
        <v>112715.87962493801</v>
      </c>
      <c r="S46" s="135">
        <f>IFERROR(_xlfn.XLOOKUP($B46,'Paste Here'!$A:$A,'Paste Here'!R:R),0)</f>
        <v>108874.13678220857</v>
      </c>
      <c r="T46" s="135">
        <f>IFERROR(_xlfn.XLOOKUP($B46,'Paste Here'!$A:$A,'Paste Here'!S:S),0)</f>
        <v>102366.14525457981</v>
      </c>
      <c r="U46" s="135">
        <f>IFERROR(_xlfn.XLOOKUP($B46,'Paste Here'!$A:$A,'Paste Here'!T:T),0)</f>
        <v>99431.555677972501</v>
      </c>
      <c r="V46" s="135">
        <f>IFERROR(_xlfn.XLOOKUP($B46,'Paste Here'!$A:$A,'Paste Here'!U:U),0)</f>
        <v>100884.57208328503</v>
      </c>
      <c r="W46" s="135">
        <f>IFERROR(_xlfn.XLOOKUP($B46,'Paste Here'!$A:$A,'Paste Here'!V:V),0)</f>
        <v>102768.29323243051</v>
      </c>
      <c r="X46" s="135">
        <f>IFERROR(_xlfn.XLOOKUP($B46,'Paste Here'!$A:$A,'Paste Here'!W:W),0)</f>
        <v>103409.10631018277</v>
      </c>
      <c r="Y46" s="135">
        <f>IFERROR(_xlfn.XLOOKUP($B46,'Paste Here'!$A:$A,'Paste Here'!X:X),0)</f>
        <v>101915.2726102689</v>
      </c>
      <c r="Z46" s="135">
        <f>IFERROR(_xlfn.XLOOKUP($B46,'Paste Here'!$A:$A,'Paste Here'!Y:Y),0)</f>
        <v>100474.77031513726</v>
      </c>
      <c r="AA46" s="135">
        <f>IFERROR(_xlfn.XLOOKUP($B46,'Paste Here'!$A:$A,'Paste Here'!Z:Z),0)</f>
        <v>97673.704749885277</v>
      </c>
      <c r="AB46" s="135">
        <f>IFERROR(_xlfn.XLOOKUP($B46,'Paste Here'!$A:$A,'Paste Here'!AA:AA),0)</f>
        <v>95771.481789090089</v>
      </c>
      <c r="AC46" s="135">
        <f>IFERROR(_xlfn.XLOOKUP($B46,'Paste Here'!$A:$A,'Paste Here'!AB:AB),0)</f>
        <v>94863.599044557312</v>
      </c>
      <c r="AD46" s="135">
        <f>IFERROR(_xlfn.XLOOKUP($B46,'Paste Here'!$A:$A,'Paste Here'!AC:AC),0)</f>
        <v>96406.90916599601</v>
      </c>
      <c r="AE46" s="135">
        <f>IFERROR(_xlfn.XLOOKUP($B46,'Paste Here'!$A:$A,'Paste Here'!AD:AD),0)</f>
        <v>97301.675671768287</v>
      </c>
      <c r="AF46" s="135">
        <f>IFERROR(_xlfn.XLOOKUP($B46,'Paste Here'!$A:$A,'Paste Here'!AE:AE),0)</f>
        <v>97004.828763307305</v>
      </c>
      <c r="AG46" s="135">
        <f>IFERROR(_xlfn.XLOOKUP($B46,'Paste Here'!$A:$A,'Paste Here'!AF:AF),0)</f>
        <v>94774.152275880697</v>
      </c>
      <c r="AH46" s="135">
        <f>IFERROR(_xlfn.XLOOKUP($B46,'Paste Here'!$A:$A,'Paste Here'!AG:AG),0)</f>
        <v>94748.749331494168</v>
      </c>
    </row>
    <row r="47" spans="1:34" x14ac:dyDescent="0.25">
      <c r="B47" s="88" t="s">
        <v>26</v>
      </c>
      <c r="C47" s="134">
        <f>IFERROR(_xlfn.XLOOKUP($B47,'Paste Here'!$A:$A,'Paste Here'!B:B),0)</f>
        <v>193785.35</v>
      </c>
      <c r="D47" s="134">
        <f>IFERROR(_xlfn.XLOOKUP($B47,'Paste Here'!$A:$A,'Paste Here'!C:C),0)</f>
        <v>193785.35</v>
      </c>
      <c r="E47" s="134">
        <f>IFERROR(_xlfn.XLOOKUP($B47,'Paste Here'!$A:$A,'Paste Here'!D:D),0)</f>
        <v>193785.35</v>
      </c>
      <c r="F47" s="134">
        <f>IFERROR(_xlfn.XLOOKUP($B47,'Paste Here'!$A:$A,'Paste Here'!E:E),0)</f>
        <v>193785.35</v>
      </c>
      <c r="G47" s="134">
        <f>IFERROR(_xlfn.XLOOKUP($B47,'Paste Here'!$A:$A,'Paste Here'!F:F),0)</f>
        <v>193785.35</v>
      </c>
      <c r="H47" s="134">
        <f>IFERROR(_xlfn.XLOOKUP($B47,'Paste Here'!$A:$A,'Paste Here'!G:G),0)</f>
        <v>193785.35</v>
      </c>
      <c r="I47" s="157">
        <f>IFERROR(_xlfn.XLOOKUP($B47,'Paste Here'!$A:$A,'Paste Here'!H:H),0)</f>
        <v>193785.35</v>
      </c>
      <c r="J47" s="157">
        <f>IFERROR(_xlfn.XLOOKUP($B47,'Paste Here'!$A:$A,'Paste Here'!I:I),0)</f>
        <v>193785.35</v>
      </c>
      <c r="K47" s="157">
        <f>IFERROR(_xlfn.XLOOKUP($B47,'Paste Here'!$A:$A,'Paste Here'!J:J),0)</f>
        <v>193785.35</v>
      </c>
      <c r="L47" s="157">
        <f>IFERROR(_xlfn.XLOOKUP($B47,'Paste Here'!$A:$A,'Paste Here'!K:K),0)</f>
        <v>193785.35</v>
      </c>
      <c r="M47" s="157">
        <f>IFERROR(_xlfn.XLOOKUP($B47,'Paste Here'!$A:$A,'Paste Here'!L:L),0)</f>
        <v>193785.35</v>
      </c>
      <c r="N47" s="157">
        <f>IFERROR(_xlfn.XLOOKUP($B47,'Paste Here'!$A:$A,'Paste Here'!M:M),0)</f>
        <v>193785.35</v>
      </c>
      <c r="O47" s="157">
        <f>IFERROR(_xlfn.XLOOKUP($B47,'Paste Here'!$A:$A,'Paste Here'!N:N),0)</f>
        <v>193785.35</v>
      </c>
      <c r="P47" s="157">
        <f>IFERROR(_xlfn.XLOOKUP($B47,'Paste Here'!$A:$A,'Paste Here'!O:O),0)</f>
        <v>193785.35</v>
      </c>
      <c r="Q47" s="157">
        <f>IFERROR(_xlfn.XLOOKUP($B47,'Paste Here'!$A:$A,'Paste Here'!P:P),0)</f>
        <v>193785.35</v>
      </c>
      <c r="R47" s="157">
        <f>IFERROR(_xlfn.XLOOKUP($B47,'Paste Here'!$A:$A,'Paste Here'!Q:Q),0)</f>
        <v>193785.35</v>
      </c>
      <c r="S47" s="157">
        <f>IFERROR(_xlfn.XLOOKUP($B47,'Paste Here'!$A:$A,'Paste Here'!R:R),0)</f>
        <v>193785.35</v>
      </c>
      <c r="T47" s="157">
        <f>IFERROR(_xlfn.XLOOKUP($B47,'Paste Here'!$A:$A,'Paste Here'!S:S),0)</f>
        <v>193785.35</v>
      </c>
      <c r="U47" s="157">
        <f>IFERROR(_xlfn.XLOOKUP($B47,'Paste Here'!$A:$A,'Paste Here'!T:T),0)</f>
        <v>193785.35</v>
      </c>
      <c r="V47" s="157">
        <f>IFERROR(_xlfn.XLOOKUP($B47,'Paste Here'!$A:$A,'Paste Here'!U:U),0)</f>
        <v>193785.35</v>
      </c>
      <c r="W47" s="157">
        <f>IFERROR(_xlfn.XLOOKUP($B47,'Paste Here'!$A:$A,'Paste Here'!V:V),0)</f>
        <v>193785.35</v>
      </c>
      <c r="X47" s="157">
        <f>IFERROR(_xlfn.XLOOKUP($B47,'Paste Here'!$A:$A,'Paste Here'!W:W),0)</f>
        <v>193785.35</v>
      </c>
      <c r="Y47" s="157">
        <f>IFERROR(_xlfn.XLOOKUP($B47,'Paste Here'!$A:$A,'Paste Here'!X:X),0)</f>
        <v>193785.35</v>
      </c>
      <c r="Z47" s="157">
        <f>IFERROR(_xlfn.XLOOKUP($B47,'Paste Here'!$A:$A,'Paste Here'!Y:Y),0)</f>
        <v>193785.35</v>
      </c>
      <c r="AA47" s="157">
        <f>IFERROR(_xlfn.XLOOKUP($B47,'Paste Here'!$A:$A,'Paste Here'!Z:Z),0)</f>
        <v>193785.35</v>
      </c>
      <c r="AB47" s="157">
        <f>IFERROR(_xlfn.XLOOKUP($B47,'Paste Here'!$A:$A,'Paste Here'!AA:AA),0)</f>
        <v>193785.35</v>
      </c>
      <c r="AC47" s="157">
        <f>IFERROR(_xlfn.XLOOKUP($B47,'Paste Here'!$A:$A,'Paste Here'!AB:AB),0)</f>
        <v>193785.35</v>
      </c>
      <c r="AD47" s="157">
        <f>IFERROR(_xlfn.XLOOKUP($B47,'Paste Here'!$A:$A,'Paste Here'!AC:AC),0)</f>
        <v>193785.35</v>
      </c>
      <c r="AE47" s="157">
        <f>IFERROR(_xlfn.XLOOKUP($B47,'Paste Here'!$A:$A,'Paste Here'!AD:AD),0)</f>
        <v>193785.35</v>
      </c>
      <c r="AF47" s="157">
        <f>IFERROR(_xlfn.XLOOKUP($B47,'Paste Here'!$A:$A,'Paste Here'!AE:AE),0)</f>
        <v>193785.35</v>
      </c>
      <c r="AG47" s="157">
        <f>IFERROR(_xlfn.XLOOKUP($B47,'Paste Here'!$A:$A,'Paste Here'!AF:AF),0)</f>
        <v>193785.35</v>
      </c>
      <c r="AH47" s="157">
        <f>IFERROR(_xlfn.XLOOKUP($B47,'Paste Here'!$A:$A,'Paste Here'!AG:AG),0)</f>
        <v>193785.35</v>
      </c>
    </row>
    <row r="48" spans="1:34" x14ac:dyDescent="0.25">
      <c r="B48" t="s">
        <v>27</v>
      </c>
      <c r="C48" s="138">
        <f>IFERROR(_xlfn.XLOOKUP($B48,'Paste Here'!$A:$A,'Paste Here'!B:B),0)</f>
        <v>0.64599826560676543</v>
      </c>
      <c r="D48" s="138">
        <f>IFERROR(_xlfn.XLOOKUP($B48,'Paste Here'!$A:$A,'Paste Here'!C:C),0)</f>
        <v>0.63386628555770597</v>
      </c>
      <c r="E48" s="138">
        <f>IFERROR(_xlfn.XLOOKUP($B48,'Paste Here'!$A:$A,'Paste Here'!D:D),0)</f>
        <v>0.62656439199351244</v>
      </c>
      <c r="F48" s="138">
        <f>IFERROR(_xlfn.XLOOKUP($B48,'Paste Here'!$A:$A,'Paste Here'!E:E),0)</f>
        <v>0.613663519971969</v>
      </c>
      <c r="G48" s="138">
        <f>IFERROR(_xlfn.XLOOKUP($B48,'Paste Here'!$A:$A,'Paste Here'!F:F),0)</f>
        <v>0.58362512955700729</v>
      </c>
      <c r="H48" s="138">
        <f>IFERROR(_xlfn.XLOOKUP($B48,'Paste Here'!$A:$A,'Paste Here'!G:G),0)</f>
        <v>0.56933612370594577</v>
      </c>
      <c r="I48" s="139">
        <f>IFERROR(_xlfn.XLOOKUP($B48,'Paste Here'!$A:$A,'Paste Here'!H:H),0)</f>
        <v>0.55780816394763577</v>
      </c>
      <c r="J48" s="139">
        <f>IFERROR(_xlfn.XLOOKUP($B48,'Paste Here'!$A:$A,'Paste Here'!I:I),0)</f>
        <v>0.56431999636550834</v>
      </c>
      <c r="K48" s="139">
        <f>IFERROR(_xlfn.XLOOKUP($B48,'Paste Here'!$A:$A,'Paste Here'!J:J),0)</f>
        <v>0.57026117878914684</v>
      </c>
      <c r="L48" s="139">
        <f>IFERROR(_xlfn.XLOOKUP($B48,'Paste Here'!$A:$A,'Paste Here'!K:K),0)</f>
        <v>0.57895933084048845</v>
      </c>
      <c r="M48" s="139">
        <f>IFERROR(_xlfn.XLOOKUP($B48,'Paste Here'!$A:$A,'Paste Here'!L:L),0)</f>
        <v>0.5905178772118197</v>
      </c>
      <c r="N48" s="139">
        <f>IFERROR(_xlfn.XLOOKUP($B48,'Paste Here'!$A:$A,'Paste Here'!M:M),0)</f>
        <v>0.60197047136234083</v>
      </c>
      <c r="O48" s="139">
        <f>IFERROR(_xlfn.XLOOKUP($B48,'Paste Here'!$A:$A,'Paste Here'!N:N),0)</f>
        <v>0.59671519835887621</v>
      </c>
      <c r="P48" s="139">
        <f>IFERROR(_xlfn.XLOOKUP($B48,'Paste Here'!$A:$A,'Paste Here'!O:O),0)</f>
        <v>0.59367869469519263</v>
      </c>
      <c r="Q48" s="139">
        <f>IFERROR(_xlfn.XLOOKUP($B48,'Paste Here'!$A:$A,'Paste Here'!P:P),0)</f>
        <v>0.58159193676547638</v>
      </c>
      <c r="R48" s="139">
        <f>IFERROR(_xlfn.XLOOKUP($B48,'Paste Here'!$A:$A,'Paste Here'!Q:Q),0)</f>
        <v>0.5816532551348077</v>
      </c>
      <c r="S48" s="139">
        <f>IFERROR(_xlfn.XLOOKUP($B48,'Paste Here'!$A:$A,'Paste Here'!R:R),0)</f>
        <v>0.56182852203331457</v>
      </c>
      <c r="T48" s="139">
        <f>IFERROR(_xlfn.XLOOKUP($B48,'Paste Here'!$A:$A,'Paste Here'!S:S),0)</f>
        <v>0.52824501570722349</v>
      </c>
      <c r="U48" s="139">
        <f>IFERROR(_xlfn.XLOOKUP($B48,'Paste Here'!$A:$A,'Paste Here'!T:T),0)</f>
        <v>0.51310150988179704</v>
      </c>
      <c r="V48" s="139">
        <f>IFERROR(_xlfn.XLOOKUP($B48,'Paste Here'!$A:$A,'Paste Here'!U:U),0)</f>
        <v>0.52059958135785311</v>
      </c>
      <c r="W48" s="139">
        <f>IFERROR(_xlfn.XLOOKUP($B48,'Paste Here'!$A:$A,'Paste Here'!V:V),0)</f>
        <v>0.53032023954561325</v>
      </c>
      <c r="X48" s="139">
        <f>IFERROR(_xlfn.XLOOKUP($B48,'Paste Here'!$A:$A,'Paste Here'!W:W),0)</f>
        <v>0.53362705854793857</v>
      </c>
      <c r="Y48" s="139">
        <f>IFERROR(_xlfn.XLOOKUP($B48,'Paste Here'!$A:$A,'Paste Here'!X:X),0)</f>
        <v>0.52591835559431555</v>
      </c>
      <c r="Z48" s="139">
        <f>IFERROR(_xlfn.XLOOKUP($B48,'Paste Here'!$A:$A,'Paste Here'!Y:Y),0)</f>
        <v>0.51848486129182236</v>
      </c>
      <c r="AA48" s="139">
        <f>IFERROR(_xlfn.XLOOKUP($B48,'Paste Here'!$A:$A,'Paste Here'!Z:Z),0)</f>
        <v>0.50403038593931515</v>
      </c>
      <c r="AB48" s="139">
        <f>IFERROR(_xlfn.XLOOKUP($B48,'Paste Here'!$A:$A,'Paste Here'!AA:AA),0)</f>
        <v>0.49421425194985114</v>
      </c>
      <c r="AC48" s="139">
        <f>IFERROR(_xlfn.XLOOKUP($B48,'Paste Here'!$A:$A,'Paste Here'!AB:AB),0)</f>
        <v>0.48952926031073718</v>
      </c>
      <c r="AD48" s="139">
        <f>IFERROR(_xlfn.XLOOKUP($B48,'Paste Here'!$A:$A,'Paste Here'!AC:AC),0)</f>
        <v>0.49749327885723049</v>
      </c>
      <c r="AE48" s="139">
        <f>IFERROR(_xlfn.XLOOKUP($B48,'Paste Here'!$A:$A,'Paste Here'!AD:AD),0)</f>
        <v>0.50211058612928317</v>
      </c>
      <c r="AF48" s="139">
        <f>IFERROR(_xlfn.XLOOKUP($B48,'Paste Here'!$A:$A,'Paste Here'!AE:AE),0)</f>
        <v>0.50057875253886475</v>
      </c>
      <c r="AG48" s="139">
        <f>IFERROR(_xlfn.XLOOKUP($B48,'Paste Here'!$A:$A,'Paste Here'!AF:AF),0)</f>
        <v>0.48906768378456211</v>
      </c>
      <c r="AH48" s="139">
        <f>IFERROR(_xlfn.XLOOKUP($B48,'Paste Here'!$A:$A,'Paste Here'!AG:AG),0)</f>
        <v>0.4889365957307617</v>
      </c>
    </row>
    <row r="49" spans="2:34" x14ac:dyDescent="0.25">
      <c r="B49" s="83" t="s">
        <v>28</v>
      </c>
      <c r="C49" s="161">
        <f>IFERROR(_xlfn.XLOOKUP($B49,'Paste Here'!$A:$A,'Paste Here'!B:B),0)</f>
        <v>0</v>
      </c>
      <c r="D49" s="161">
        <f>IFERROR(_xlfn.XLOOKUP($B49,'Paste Here'!$A:$A,'Paste Here'!C:C),0)</f>
        <v>0</v>
      </c>
      <c r="E49" s="161">
        <f>IFERROR(_xlfn.XLOOKUP($B49,'Paste Here'!$A:$A,'Paste Here'!D:D),0)</f>
        <v>0</v>
      </c>
      <c r="F49" s="161">
        <f>IFERROR(_xlfn.XLOOKUP($B49,'Paste Here'!$A:$A,'Paste Here'!E:E),0)</f>
        <v>0</v>
      </c>
      <c r="G49" s="161">
        <f>IFERROR(_xlfn.XLOOKUP($B49,'Paste Here'!$A:$A,'Paste Here'!F:F),0)</f>
        <v>0</v>
      </c>
      <c r="H49" s="161">
        <f>IFERROR(_xlfn.XLOOKUP($B49,'Paste Here'!$A:$A,'Paste Here'!G:G),0)</f>
        <v>0</v>
      </c>
      <c r="I49" s="159">
        <f>IFERROR(_xlfn.XLOOKUP($B49,'Paste Here'!$A:$A,'Paste Here'!H:H),0)</f>
        <v>0</v>
      </c>
      <c r="J49" s="159">
        <f>IFERROR(_xlfn.XLOOKUP($B49,'Paste Here'!$A:$A,'Paste Here'!I:I),0)</f>
        <v>0</v>
      </c>
      <c r="K49" s="159">
        <f>IFERROR(_xlfn.XLOOKUP($B49,'Paste Here'!$A:$A,'Paste Here'!J:J),0)</f>
        <v>0</v>
      </c>
      <c r="L49" s="159">
        <f>IFERROR(_xlfn.XLOOKUP($B49,'Paste Here'!$A:$A,'Paste Here'!K:K),0)</f>
        <v>0</v>
      </c>
      <c r="M49" s="159">
        <f>IFERROR(_xlfn.XLOOKUP($B49,'Paste Here'!$A:$A,'Paste Here'!L:L),0)</f>
        <v>0</v>
      </c>
      <c r="N49" s="159">
        <f>IFERROR(_xlfn.XLOOKUP($B49,'Paste Here'!$A:$A,'Paste Here'!M:M),0)</f>
        <v>0</v>
      </c>
      <c r="O49" s="159">
        <f>IFERROR(_xlfn.XLOOKUP($B49,'Paste Here'!$A:$A,'Paste Here'!N:N),0)</f>
        <v>0</v>
      </c>
      <c r="P49" s="159">
        <f>IFERROR(_xlfn.XLOOKUP($B49,'Paste Here'!$A:$A,'Paste Here'!O:O),0)</f>
        <v>0</v>
      </c>
      <c r="Q49" s="159">
        <f>IFERROR(_xlfn.XLOOKUP($B49,'Paste Here'!$A:$A,'Paste Here'!P:P),0)</f>
        <v>0</v>
      </c>
      <c r="R49" s="159">
        <f>IFERROR(_xlfn.XLOOKUP($B49,'Paste Here'!$A:$A,'Paste Here'!Q:Q),0)</f>
        <v>0</v>
      </c>
      <c r="S49" s="159">
        <f>IFERROR(_xlfn.XLOOKUP($B49,'Paste Here'!$A:$A,'Paste Here'!R:R),0)</f>
        <v>0</v>
      </c>
      <c r="T49" s="159">
        <f>IFERROR(_xlfn.XLOOKUP($B49,'Paste Here'!$A:$A,'Paste Here'!S:S),0)</f>
        <v>0</v>
      </c>
      <c r="U49" s="159">
        <f>IFERROR(_xlfn.XLOOKUP($B49,'Paste Here'!$A:$A,'Paste Here'!T:T),0)</f>
        <v>0</v>
      </c>
      <c r="V49" s="159">
        <f>IFERROR(_xlfn.XLOOKUP($B49,'Paste Here'!$A:$A,'Paste Here'!U:U),0)</f>
        <v>0</v>
      </c>
      <c r="W49" s="159">
        <f>IFERROR(_xlfn.XLOOKUP($B49,'Paste Here'!$A:$A,'Paste Here'!V:V),0)</f>
        <v>0</v>
      </c>
      <c r="X49" s="159">
        <f>IFERROR(_xlfn.XLOOKUP($B49,'Paste Here'!$A:$A,'Paste Here'!W:W),0)</f>
        <v>0</v>
      </c>
      <c r="Y49" s="159">
        <f>IFERROR(_xlfn.XLOOKUP($B49,'Paste Here'!$A:$A,'Paste Here'!X:X),0)</f>
        <v>0</v>
      </c>
      <c r="Z49" s="159">
        <f>IFERROR(_xlfn.XLOOKUP($B49,'Paste Here'!$A:$A,'Paste Here'!Y:Y),0)</f>
        <v>0</v>
      </c>
      <c r="AA49" s="159">
        <f>IFERROR(_xlfn.XLOOKUP($B49,'Paste Here'!$A:$A,'Paste Here'!Z:Z),0)</f>
        <v>0</v>
      </c>
      <c r="AB49" s="159">
        <f>IFERROR(_xlfn.XLOOKUP($B49,'Paste Here'!$A:$A,'Paste Here'!AA:AA),0)</f>
        <v>0</v>
      </c>
      <c r="AC49" s="159">
        <f>IFERROR(_xlfn.XLOOKUP($B49,'Paste Here'!$A:$A,'Paste Here'!AB:AB),0)</f>
        <v>0</v>
      </c>
      <c r="AD49" s="159">
        <f>IFERROR(_xlfn.XLOOKUP($B49,'Paste Here'!$A:$A,'Paste Here'!AC:AC),0)</f>
        <v>0</v>
      </c>
      <c r="AE49" s="159">
        <f>IFERROR(_xlfn.XLOOKUP($B49,'Paste Here'!$A:$A,'Paste Here'!AD:AD),0)</f>
        <v>0</v>
      </c>
      <c r="AF49" s="159">
        <f>IFERROR(_xlfn.XLOOKUP($B49,'Paste Here'!$A:$A,'Paste Here'!AE:AE),0)</f>
        <v>0</v>
      </c>
      <c r="AG49" s="159">
        <f>IFERROR(_xlfn.XLOOKUP($B49,'Paste Here'!$A:$A,'Paste Here'!AF:AF),0)</f>
        <v>0</v>
      </c>
      <c r="AH49" s="159">
        <f>IFERROR(_xlfn.XLOOKUP($B49,'Paste Here'!$A:$A,'Paste Here'!AG:AG),0)</f>
        <v>0</v>
      </c>
    </row>
    <row r="50" spans="2:34" x14ac:dyDescent="0.25">
      <c r="B50" s="87" t="s">
        <v>29</v>
      </c>
      <c r="C50" s="130">
        <f>IFERROR(_xlfn.XLOOKUP($B50,'Paste Here'!$A:$A,'Paste Here'!B:B),0)</f>
        <v>0</v>
      </c>
      <c r="D50" s="130">
        <f>IFERROR(_xlfn.XLOOKUP($B50,'Paste Here'!$A:$A,'Paste Here'!C:C),0)</f>
        <v>0</v>
      </c>
      <c r="E50" s="130">
        <f>IFERROR(_xlfn.XLOOKUP($B50,'Paste Here'!$A:$A,'Paste Here'!D:D),0)</f>
        <v>0</v>
      </c>
      <c r="F50" s="130">
        <f>IFERROR(_xlfn.XLOOKUP($B50,'Paste Here'!$A:$A,'Paste Here'!E:E),0)</f>
        <v>0</v>
      </c>
      <c r="G50" s="130">
        <f>IFERROR(_xlfn.XLOOKUP($B50,'Paste Here'!$A:$A,'Paste Here'!F:F),0)</f>
        <v>0</v>
      </c>
      <c r="H50" s="130">
        <f>IFERROR(_xlfn.XLOOKUP($B50,'Paste Here'!$A:$A,'Paste Here'!G:G),0)</f>
        <v>0</v>
      </c>
      <c r="I50" s="160">
        <f>IFERROR(_xlfn.XLOOKUP($B50,'Paste Here'!$A:$A,'Paste Here'!H:H),0)</f>
        <v>0</v>
      </c>
      <c r="J50" s="160">
        <f>IFERROR(_xlfn.XLOOKUP($B50,'Paste Here'!$A:$A,'Paste Here'!I:I),0)</f>
        <v>0</v>
      </c>
      <c r="K50" s="160">
        <f>IFERROR(_xlfn.XLOOKUP($B50,'Paste Here'!$A:$A,'Paste Here'!J:J),0)</f>
        <v>0</v>
      </c>
      <c r="L50" s="160">
        <f>IFERROR(_xlfn.XLOOKUP($B50,'Paste Here'!$A:$A,'Paste Here'!K:K),0)</f>
        <v>0</v>
      </c>
      <c r="M50" s="160">
        <f>IFERROR(_xlfn.XLOOKUP($B50,'Paste Here'!$A:$A,'Paste Here'!L:L),0)</f>
        <v>0</v>
      </c>
      <c r="N50" s="160">
        <f>IFERROR(_xlfn.XLOOKUP($B50,'Paste Here'!$A:$A,'Paste Here'!M:M),0)</f>
        <v>0</v>
      </c>
      <c r="O50" s="160">
        <f>IFERROR(_xlfn.XLOOKUP($B50,'Paste Here'!$A:$A,'Paste Here'!N:N),0)</f>
        <v>0</v>
      </c>
      <c r="P50" s="160">
        <f>IFERROR(_xlfn.XLOOKUP($B50,'Paste Here'!$A:$A,'Paste Here'!O:O),0)</f>
        <v>0</v>
      </c>
      <c r="Q50" s="160">
        <f>IFERROR(_xlfn.XLOOKUP($B50,'Paste Here'!$A:$A,'Paste Here'!P:P),0)</f>
        <v>0</v>
      </c>
      <c r="R50" s="160">
        <f>IFERROR(_xlfn.XLOOKUP($B50,'Paste Here'!$A:$A,'Paste Here'!Q:Q),0)</f>
        <v>0</v>
      </c>
      <c r="S50" s="160">
        <f>IFERROR(_xlfn.XLOOKUP($B50,'Paste Here'!$A:$A,'Paste Here'!R:R),0)</f>
        <v>0</v>
      </c>
      <c r="T50" s="160">
        <f>IFERROR(_xlfn.XLOOKUP($B50,'Paste Here'!$A:$A,'Paste Here'!S:S),0)</f>
        <v>0</v>
      </c>
      <c r="U50" s="160">
        <f>IFERROR(_xlfn.XLOOKUP($B50,'Paste Here'!$A:$A,'Paste Here'!T:T),0)</f>
        <v>0</v>
      </c>
      <c r="V50" s="160">
        <f>IFERROR(_xlfn.XLOOKUP($B50,'Paste Here'!$A:$A,'Paste Here'!U:U),0)</f>
        <v>0</v>
      </c>
      <c r="W50" s="160">
        <f>IFERROR(_xlfn.XLOOKUP($B50,'Paste Here'!$A:$A,'Paste Here'!V:V),0)</f>
        <v>0</v>
      </c>
      <c r="X50" s="160">
        <f>IFERROR(_xlfn.XLOOKUP($B50,'Paste Here'!$A:$A,'Paste Here'!W:W),0)</f>
        <v>0</v>
      </c>
      <c r="Y50" s="160">
        <f>IFERROR(_xlfn.XLOOKUP($B50,'Paste Here'!$A:$A,'Paste Here'!X:X),0)</f>
        <v>0</v>
      </c>
      <c r="Z50" s="160">
        <f>IFERROR(_xlfn.XLOOKUP($B50,'Paste Here'!$A:$A,'Paste Here'!Y:Y),0)</f>
        <v>0</v>
      </c>
      <c r="AA50" s="160">
        <f>IFERROR(_xlfn.XLOOKUP($B50,'Paste Here'!$A:$A,'Paste Here'!Z:Z),0)</f>
        <v>0</v>
      </c>
      <c r="AB50" s="160">
        <f>IFERROR(_xlfn.XLOOKUP($B50,'Paste Here'!$A:$A,'Paste Here'!AA:AA),0)</f>
        <v>0</v>
      </c>
      <c r="AC50" s="160">
        <f>IFERROR(_xlfn.XLOOKUP($B50,'Paste Here'!$A:$A,'Paste Here'!AB:AB),0)</f>
        <v>0</v>
      </c>
      <c r="AD50" s="160">
        <f>IFERROR(_xlfn.XLOOKUP($B50,'Paste Here'!$A:$A,'Paste Here'!AC:AC),0)</f>
        <v>0</v>
      </c>
      <c r="AE50" s="160">
        <f>IFERROR(_xlfn.XLOOKUP($B50,'Paste Here'!$A:$A,'Paste Here'!AD:AD),0)</f>
        <v>0</v>
      </c>
      <c r="AF50" s="160">
        <f>IFERROR(_xlfn.XLOOKUP($B50,'Paste Here'!$A:$A,'Paste Here'!AE:AE),0)</f>
        <v>0</v>
      </c>
      <c r="AG50" s="160">
        <f>IFERROR(_xlfn.XLOOKUP($B50,'Paste Here'!$A:$A,'Paste Here'!AF:AF),0)</f>
        <v>0</v>
      </c>
      <c r="AH50" s="160">
        <f>IFERROR(_xlfn.XLOOKUP($B50,'Paste Here'!$A:$A,'Paste Here'!AG:AG),0)</f>
        <v>0</v>
      </c>
    </row>
    <row r="51" spans="2:34" x14ac:dyDescent="0.25">
      <c r="B51" t="s">
        <v>30</v>
      </c>
      <c r="C51" s="162">
        <f>IFERROR(_xlfn.XLOOKUP($B51,'Paste Here'!$A:$A,'Paste Here'!B:B),0)</f>
        <v>0</v>
      </c>
      <c r="D51" s="162">
        <f>IFERROR(_xlfn.XLOOKUP($B51,'Paste Here'!$A:$A,'Paste Here'!C:C),0)</f>
        <v>0</v>
      </c>
      <c r="E51" s="162">
        <f>IFERROR(_xlfn.XLOOKUP($B51,'Paste Here'!$A:$A,'Paste Here'!D:D),0)</f>
        <v>0</v>
      </c>
      <c r="F51" s="162">
        <f>IFERROR(_xlfn.XLOOKUP($B51,'Paste Here'!$A:$A,'Paste Here'!E:E),0)</f>
        <v>0</v>
      </c>
      <c r="G51" s="162">
        <f>IFERROR(_xlfn.XLOOKUP($B51,'Paste Here'!$A:$A,'Paste Here'!F:F),0)</f>
        <v>0</v>
      </c>
      <c r="H51" s="162">
        <f>IFERROR(_xlfn.XLOOKUP($B51,'Paste Here'!$A:$A,'Paste Here'!G:G),0)</f>
        <v>0</v>
      </c>
      <c r="I51" s="158">
        <f>IFERROR(_xlfn.XLOOKUP($B51,'Paste Here'!$A:$A,'Paste Here'!H:H),0)</f>
        <v>0</v>
      </c>
      <c r="J51" s="158">
        <f>IFERROR(_xlfn.XLOOKUP($B51,'Paste Here'!$A:$A,'Paste Here'!I:I),0)</f>
        <v>0</v>
      </c>
      <c r="K51" s="158">
        <f>IFERROR(_xlfn.XLOOKUP($B51,'Paste Here'!$A:$A,'Paste Here'!J:J),0)</f>
        <v>0</v>
      </c>
      <c r="L51" s="158">
        <f>IFERROR(_xlfn.XLOOKUP($B51,'Paste Here'!$A:$A,'Paste Here'!K:K),0)</f>
        <v>0</v>
      </c>
      <c r="M51" s="158">
        <f>IFERROR(_xlfn.XLOOKUP($B51,'Paste Here'!$A:$A,'Paste Here'!L:L),0)</f>
        <v>0</v>
      </c>
      <c r="N51" s="158">
        <f>IFERROR(_xlfn.XLOOKUP($B51,'Paste Here'!$A:$A,'Paste Here'!M:M),0)</f>
        <v>0</v>
      </c>
      <c r="O51" s="158">
        <f>IFERROR(_xlfn.XLOOKUP($B51,'Paste Here'!$A:$A,'Paste Here'!N:N),0)</f>
        <v>0</v>
      </c>
      <c r="P51" s="158">
        <f>IFERROR(_xlfn.XLOOKUP($B51,'Paste Here'!$A:$A,'Paste Here'!O:O),0)</f>
        <v>0</v>
      </c>
      <c r="Q51" s="158">
        <f>IFERROR(_xlfn.XLOOKUP($B51,'Paste Here'!$A:$A,'Paste Here'!P:P),0)</f>
        <v>0</v>
      </c>
      <c r="R51" s="158">
        <f>IFERROR(_xlfn.XLOOKUP($B51,'Paste Here'!$A:$A,'Paste Here'!Q:Q),0)</f>
        <v>0</v>
      </c>
      <c r="S51" s="158">
        <f>IFERROR(_xlfn.XLOOKUP($B51,'Paste Here'!$A:$A,'Paste Here'!R:R),0)</f>
        <v>0</v>
      </c>
      <c r="T51" s="158">
        <f>IFERROR(_xlfn.XLOOKUP($B51,'Paste Here'!$A:$A,'Paste Here'!S:S),0)</f>
        <v>0</v>
      </c>
      <c r="U51" s="158">
        <f>IFERROR(_xlfn.XLOOKUP($B51,'Paste Here'!$A:$A,'Paste Here'!T:T),0)</f>
        <v>0</v>
      </c>
      <c r="V51" s="158">
        <f>IFERROR(_xlfn.XLOOKUP($B51,'Paste Here'!$A:$A,'Paste Here'!U:U),0)</f>
        <v>0</v>
      </c>
      <c r="W51" s="158">
        <f>IFERROR(_xlfn.XLOOKUP($B51,'Paste Here'!$A:$A,'Paste Here'!V:V),0)</f>
        <v>0</v>
      </c>
      <c r="X51" s="158">
        <f>IFERROR(_xlfn.XLOOKUP($B51,'Paste Here'!$A:$A,'Paste Here'!W:W),0)</f>
        <v>0</v>
      </c>
      <c r="Y51" s="158">
        <f>IFERROR(_xlfn.XLOOKUP($B51,'Paste Here'!$A:$A,'Paste Here'!X:X),0)</f>
        <v>0</v>
      </c>
      <c r="Z51" s="158">
        <f>IFERROR(_xlfn.XLOOKUP($B51,'Paste Here'!$A:$A,'Paste Here'!Y:Y),0)</f>
        <v>0</v>
      </c>
      <c r="AA51" s="158">
        <f>IFERROR(_xlfn.XLOOKUP($B51,'Paste Here'!$A:$A,'Paste Here'!Z:Z),0)</f>
        <v>0</v>
      </c>
      <c r="AB51" s="158">
        <f>IFERROR(_xlfn.XLOOKUP($B51,'Paste Here'!$A:$A,'Paste Here'!AA:AA),0)</f>
        <v>0</v>
      </c>
      <c r="AC51" s="158">
        <f>IFERROR(_xlfn.XLOOKUP($B51,'Paste Here'!$A:$A,'Paste Here'!AB:AB),0)</f>
        <v>0</v>
      </c>
      <c r="AD51" s="158">
        <f>IFERROR(_xlfn.XLOOKUP($B51,'Paste Here'!$A:$A,'Paste Here'!AC:AC),0)</f>
        <v>0</v>
      </c>
      <c r="AE51" s="158">
        <f>IFERROR(_xlfn.XLOOKUP($B51,'Paste Here'!$A:$A,'Paste Here'!AD:AD),0)</f>
        <v>0</v>
      </c>
      <c r="AF51" s="158">
        <f>IFERROR(_xlfn.XLOOKUP($B51,'Paste Here'!$A:$A,'Paste Here'!AE:AE),0)</f>
        <v>0</v>
      </c>
      <c r="AG51" s="158">
        <f>IFERROR(_xlfn.XLOOKUP($B51,'Paste Here'!$A:$A,'Paste Here'!AF:AF),0)</f>
        <v>0</v>
      </c>
      <c r="AH51" s="158">
        <f>IFERROR(_xlfn.XLOOKUP($B51,'Paste Here'!$A:$A,'Paste Here'!AG:AG),0)</f>
        <v>0</v>
      </c>
    </row>
    <row r="52" spans="2:34" x14ac:dyDescent="0.25">
      <c r="B52" t="s">
        <v>31</v>
      </c>
      <c r="C52" s="130">
        <f>IFERROR(_xlfn.XLOOKUP($B52,'Paste Here'!$A:$A,'Paste Here'!B:B),0)</f>
        <v>193785.35</v>
      </c>
      <c r="D52" s="130">
        <f>IFERROR(_xlfn.XLOOKUP($B52,'Paste Here'!$A:$A,'Paste Here'!C:C),0)</f>
        <v>193785.35</v>
      </c>
      <c r="E52" s="130">
        <f>IFERROR(_xlfn.XLOOKUP($B52,'Paste Here'!$A:$A,'Paste Here'!D:D),0)</f>
        <v>193785.35</v>
      </c>
      <c r="F52" s="130">
        <f>IFERROR(_xlfn.XLOOKUP($B52,'Paste Here'!$A:$A,'Paste Here'!E:E),0)</f>
        <v>193785.35</v>
      </c>
      <c r="G52" s="130">
        <f>IFERROR(_xlfn.XLOOKUP($B52,'Paste Here'!$A:$A,'Paste Here'!F:F),0)</f>
        <v>193785.35</v>
      </c>
      <c r="H52" s="130">
        <f>IFERROR(_xlfn.XLOOKUP($B52,'Paste Here'!$A:$A,'Paste Here'!G:G),0)</f>
        <v>193785.35</v>
      </c>
      <c r="I52" s="135">
        <f>IFERROR(_xlfn.XLOOKUP($B52,'Paste Here'!$A:$A,'Paste Here'!H:H),0)</f>
        <v>193785.35</v>
      </c>
      <c r="J52" s="135">
        <f>IFERROR(_xlfn.XLOOKUP($B52,'Paste Here'!$A:$A,'Paste Here'!I:I),0)</f>
        <v>193785.35</v>
      </c>
      <c r="K52" s="135">
        <f>IFERROR(_xlfn.XLOOKUP($B52,'Paste Here'!$A:$A,'Paste Here'!J:J),0)</f>
        <v>193785.35</v>
      </c>
      <c r="L52" s="135">
        <f>IFERROR(_xlfn.XLOOKUP($B52,'Paste Here'!$A:$A,'Paste Here'!K:K),0)</f>
        <v>193785.35</v>
      </c>
      <c r="M52" s="135">
        <f>IFERROR(_xlfn.XLOOKUP($B52,'Paste Here'!$A:$A,'Paste Here'!L:L),0)</f>
        <v>193785.35</v>
      </c>
      <c r="N52" s="135">
        <f>IFERROR(_xlfn.XLOOKUP($B52,'Paste Here'!$A:$A,'Paste Here'!M:M),0)</f>
        <v>193785.35</v>
      </c>
      <c r="O52" s="135">
        <f>IFERROR(_xlfn.XLOOKUP($B52,'Paste Here'!$A:$A,'Paste Here'!N:N),0)</f>
        <v>193785.35</v>
      </c>
      <c r="P52" s="135">
        <f>IFERROR(_xlfn.XLOOKUP($B52,'Paste Here'!$A:$A,'Paste Here'!O:O),0)</f>
        <v>193785.35</v>
      </c>
      <c r="Q52" s="135">
        <f>IFERROR(_xlfn.XLOOKUP($B52,'Paste Here'!$A:$A,'Paste Here'!P:P),0)</f>
        <v>193785.35</v>
      </c>
      <c r="R52" s="135">
        <f>IFERROR(_xlfn.XLOOKUP($B52,'Paste Here'!$A:$A,'Paste Here'!Q:Q),0)</f>
        <v>193785.35</v>
      </c>
      <c r="S52" s="135">
        <f>IFERROR(_xlfn.XLOOKUP($B52,'Paste Here'!$A:$A,'Paste Here'!R:R),0)</f>
        <v>193785.35</v>
      </c>
      <c r="T52" s="135">
        <f>IFERROR(_xlfn.XLOOKUP($B52,'Paste Here'!$A:$A,'Paste Here'!S:S),0)</f>
        <v>193785.35</v>
      </c>
      <c r="U52" s="135">
        <f>IFERROR(_xlfn.XLOOKUP($B52,'Paste Here'!$A:$A,'Paste Here'!T:T),0)</f>
        <v>193785.35</v>
      </c>
      <c r="V52" s="135">
        <f>IFERROR(_xlfn.XLOOKUP($B52,'Paste Here'!$A:$A,'Paste Here'!U:U),0)</f>
        <v>193785.35</v>
      </c>
      <c r="W52" s="135">
        <f>IFERROR(_xlfn.XLOOKUP($B52,'Paste Here'!$A:$A,'Paste Here'!V:V),0)</f>
        <v>193785.35</v>
      </c>
      <c r="X52" s="135">
        <f>IFERROR(_xlfn.XLOOKUP($B52,'Paste Here'!$A:$A,'Paste Here'!W:W),0)</f>
        <v>193785.35</v>
      </c>
      <c r="Y52" s="135">
        <f>IFERROR(_xlfn.XLOOKUP($B52,'Paste Here'!$A:$A,'Paste Here'!X:X),0)</f>
        <v>193785.35</v>
      </c>
      <c r="Z52" s="135">
        <f>IFERROR(_xlfn.XLOOKUP($B52,'Paste Here'!$A:$A,'Paste Here'!Y:Y),0)</f>
        <v>193785.35</v>
      </c>
      <c r="AA52" s="135">
        <f>IFERROR(_xlfn.XLOOKUP($B52,'Paste Here'!$A:$A,'Paste Here'!Z:Z),0)</f>
        <v>193785.35</v>
      </c>
      <c r="AB52" s="135">
        <f>IFERROR(_xlfn.XLOOKUP($B52,'Paste Here'!$A:$A,'Paste Here'!AA:AA),0)</f>
        <v>193785.35</v>
      </c>
      <c r="AC52" s="135">
        <f>IFERROR(_xlfn.XLOOKUP($B52,'Paste Here'!$A:$A,'Paste Here'!AB:AB),0)</f>
        <v>193785.35</v>
      </c>
      <c r="AD52" s="135">
        <f>IFERROR(_xlfn.XLOOKUP($B52,'Paste Here'!$A:$A,'Paste Here'!AC:AC),0)</f>
        <v>193785.35</v>
      </c>
      <c r="AE52" s="135">
        <f>IFERROR(_xlfn.XLOOKUP($B52,'Paste Here'!$A:$A,'Paste Here'!AD:AD),0)</f>
        <v>193785.35</v>
      </c>
      <c r="AF52" s="135">
        <f>IFERROR(_xlfn.XLOOKUP($B52,'Paste Here'!$A:$A,'Paste Here'!AE:AE),0)</f>
        <v>193785.35</v>
      </c>
      <c r="AG52" s="135">
        <f>IFERROR(_xlfn.XLOOKUP($B52,'Paste Here'!$A:$A,'Paste Here'!AF:AF),0)</f>
        <v>193785.35</v>
      </c>
      <c r="AH52" s="135">
        <f>IFERROR(_xlfn.XLOOKUP($B52,'Paste Here'!$A:$A,'Paste Here'!AG:AG),0)</f>
        <v>193785.35</v>
      </c>
    </row>
    <row r="53" spans="2:34" x14ac:dyDescent="0.25">
      <c r="B53" t="s">
        <v>32</v>
      </c>
      <c r="C53" s="151">
        <f>IFERROR(_xlfn.XLOOKUP($B53,'Paste Here'!$A:$A,'Paste Here'!B:B),0)</f>
        <v>0.64599826560676543</v>
      </c>
      <c r="D53" s="151">
        <f>IFERROR(_xlfn.XLOOKUP($B53,'Paste Here'!$A:$A,'Paste Here'!C:C),0)</f>
        <v>0.63386628555770597</v>
      </c>
      <c r="E53" s="151">
        <f>IFERROR(_xlfn.XLOOKUP($B53,'Paste Here'!$A:$A,'Paste Here'!D:D),0)</f>
        <v>0.62656439199351244</v>
      </c>
      <c r="F53" s="151">
        <f>IFERROR(_xlfn.XLOOKUP($B53,'Paste Here'!$A:$A,'Paste Here'!E:E),0)</f>
        <v>0.613663519971969</v>
      </c>
      <c r="G53" s="151">
        <f>IFERROR(_xlfn.XLOOKUP($B53,'Paste Here'!$A:$A,'Paste Here'!F:F),0)</f>
        <v>0.58362512955700729</v>
      </c>
      <c r="H53" s="151">
        <f>IFERROR(_xlfn.XLOOKUP($B53,'Paste Here'!$A:$A,'Paste Here'!G:G),0)</f>
        <v>0.56933612370594577</v>
      </c>
      <c r="I53" s="152">
        <f>IFERROR(_xlfn.XLOOKUP($B53,'Paste Here'!$A:$A,'Paste Here'!H:H),0)</f>
        <v>0.55780816394763577</v>
      </c>
      <c r="J53" s="152">
        <f>IFERROR(_xlfn.XLOOKUP($B53,'Paste Here'!$A:$A,'Paste Here'!I:I),0)</f>
        <v>0.56431999636550834</v>
      </c>
      <c r="K53" s="152">
        <f>IFERROR(_xlfn.XLOOKUP($B53,'Paste Here'!$A:$A,'Paste Here'!J:J),0)</f>
        <v>0.57026117878914684</v>
      </c>
      <c r="L53" s="152">
        <f>IFERROR(_xlfn.XLOOKUP($B53,'Paste Here'!$A:$A,'Paste Here'!K:K),0)</f>
        <v>0.57895933084048845</v>
      </c>
      <c r="M53" s="152">
        <f>IFERROR(_xlfn.XLOOKUP($B53,'Paste Here'!$A:$A,'Paste Here'!L:L),0)</f>
        <v>0.5905178772118197</v>
      </c>
      <c r="N53" s="152">
        <f>IFERROR(_xlfn.XLOOKUP($B53,'Paste Here'!$A:$A,'Paste Here'!M:M),0)</f>
        <v>0.60197047136234083</v>
      </c>
      <c r="O53" s="152">
        <f>IFERROR(_xlfn.XLOOKUP($B53,'Paste Here'!$A:$A,'Paste Here'!N:N),0)</f>
        <v>0.59671519835887621</v>
      </c>
      <c r="P53" s="152">
        <f>IFERROR(_xlfn.XLOOKUP($B53,'Paste Here'!$A:$A,'Paste Here'!O:O),0)</f>
        <v>0.59367869469519263</v>
      </c>
      <c r="Q53" s="152">
        <f>IFERROR(_xlfn.XLOOKUP($B53,'Paste Here'!$A:$A,'Paste Here'!P:P),0)</f>
        <v>0.58159193676547638</v>
      </c>
      <c r="R53" s="152">
        <f>IFERROR(_xlfn.XLOOKUP($B53,'Paste Here'!$A:$A,'Paste Here'!Q:Q),0)</f>
        <v>0.5816532551348077</v>
      </c>
      <c r="S53" s="152">
        <f>IFERROR(_xlfn.XLOOKUP($B53,'Paste Here'!$A:$A,'Paste Here'!R:R),0)</f>
        <v>0.56182852203331457</v>
      </c>
      <c r="T53" s="152">
        <f>IFERROR(_xlfn.XLOOKUP($B53,'Paste Here'!$A:$A,'Paste Here'!S:S),0)</f>
        <v>0.52824501570722349</v>
      </c>
      <c r="U53" s="152">
        <f>IFERROR(_xlfn.XLOOKUP($B53,'Paste Here'!$A:$A,'Paste Here'!T:T),0)</f>
        <v>0.51310150988179704</v>
      </c>
      <c r="V53" s="152">
        <f>IFERROR(_xlfn.XLOOKUP($B53,'Paste Here'!$A:$A,'Paste Here'!U:U),0)</f>
        <v>0.52059958135785311</v>
      </c>
      <c r="W53" s="152">
        <f>IFERROR(_xlfn.XLOOKUP($B53,'Paste Here'!$A:$A,'Paste Here'!V:V),0)</f>
        <v>0.53032023954561325</v>
      </c>
      <c r="X53" s="152">
        <f>IFERROR(_xlfn.XLOOKUP($B53,'Paste Here'!$A:$A,'Paste Here'!W:W),0)</f>
        <v>0.53362705854793857</v>
      </c>
      <c r="Y53" s="152">
        <f>IFERROR(_xlfn.XLOOKUP($B53,'Paste Here'!$A:$A,'Paste Here'!X:X),0)</f>
        <v>0.52591835559431555</v>
      </c>
      <c r="Z53" s="152">
        <f>IFERROR(_xlfn.XLOOKUP($B53,'Paste Here'!$A:$A,'Paste Here'!Y:Y),0)</f>
        <v>0.51848486129182236</v>
      </c>
      <c r="AA53" s="152">
        <f>IFERROR(_xlfn.XLOOKUP($B53,'Paste Here'!$A:$A,'Paste Here'!Z:Z),0)</f>
        <v>0.50403038593931515</v>
      </c>
      <c r="AB53" s="152">
        <f>IFERROR(_xlfn.XLOOKUP($B53,'Paste Here'!$A:$A,'Paste Here'!AA:AA),0)</f>
        <v>0.49421425194985114</v>
      </c>
      <c r="AC53" s="152">
        <f>IFERROR(_xlfn.XLOOKUP($B53,'Paste Here'!$A:$A,'Paste Here'!AB:AB),0)</f>
        <v>0.48952926031073718</v>
      </c>
      <c r="AD53" s="152">
        <f>IFERROR(_xlfn.XLOOKUP($B53,'Paste Here'!$A:$A,'Paste Here'!AC:AC),0)</f>
        <v>0.49749327885723049</v>
      </c>
      <c r="AE53" s="152">
        <f>IFERROR(_xlfn.XLOOKUP($B53,'Paste Here'!$A:$A,'Paste Here'!AD:AD),0)</f>
        <v>0.50211058612928317</v>
      </c>
      <c r="AF53" s="152">
        <f>IFERROR(_xlfn.XLOOKUP($B53,'Paste Here'!$A:$A,'Paste Here'!AE:AE),0)</f>
        <v>0.50057875253886475</v>
      </c>
      <c r="AG53" s="152">
        <f>IFERROR(_xlfn.XLOOKUP($B53,'Paste Here'!$A:$A,'Paste Here'!AF:AF),0)</f>
        <v>0.48906768378456211</v>
      </c>
      <c r="AH53" s="152">
        <f>IFERROR(_xlfn.XLOOKUP($B53,'Paste Here'!$A:$A,'Paste Here'!AG:AG),0)</f>
        <v>0.4889365957307617</v>
      </c>
    </row>
    <row r="54" spans="2:34" x14ac:dyDescent="0.25">
      <c r="B54" t="s">
        <v>80</v>
      </c>
      <c r="C54" s="151">
        <f>IFERROR(_xlfn.XLOOKUP($B54,'Paste Here'!$A:$A,'Paste Here'!B:B),0)</f>
        <v>0.72769222836898595</v>
      </c>
      <c r="D54" s="151">
        <f>IFERROR(_xlfn.XLOOKUP($B54,'Paste Here'!$A:$A,'Paste Here'!C:C),0)</f>
        <v>0.70338808891903759</v>
      </c>
      <c r="E54" s="151">
        <f>IFERROR(_xlfn.XLOOKUP($B54,'Paste Here'!$A:$A,'Paste Here'!D:D),0)</f>
        <v>0.69758696011809473</v>
      </c>
      <c r="F54" s="151">
        <f>IFERROR(_xlfn.XLOOKUP($B54,'Paste Here'!$A:$A,'Paste Here'!E:E),0)</f>
        <v>0.72241891920620815</v>
      </c>
      <c r="G54" s="151">
        <f>IFERROR(_xlfn.XLOOKUP($B54,'Paste Here'!$A:$A,'Paste Here'!F:F),0)</f>
        <v>0.71152042112187575</v>
      </c>
      <c r="H54" s="151">
        <f>IFERROR(_xlfn.XLOOKUP($B54,'Paste Here'!$A:$A,'Paste Here'!G:G),0)</f>
        <v>0.7030019986281576</v>
      </c>
      <c r="I54" s="152">
        <f>IFERROR(_xlfn.XLOOKUP($B54,'Paste Here'!$A:$A,'Paste Here'!H:H),0)</f>
        <v>0.67262798465511009</v>
      </c>
      <c r="J54" s="152">
        <f>IFERROR(_xlfn.XLOOKUP($B54,'Paste Here'!$A:$A,'Paste Here'!I:I),0)</f>
        <v>0.66531793622234126</v>
      </c>
      <c r="K54" s="152">
        <f>IFERROR(_xlfn.XLOOKUP($B54,'Paste Here'!$A:$A,'Paste Here'!J:J),0)</f>
        <v>0.64877285650697147</v>
      </c>
      <c r="L54" s="152">
        <f>IFERROR(_xlfn.XLOOKUP($B54,'Paste Here'!$A:$A,'Paste Here'!K:K),0)</f>
        <v>0.64029813055170437</v>
      </c>
      <c r="M54" s="152">
        <f>IFERROR(_xlfn.XLOOKUP($B54,'Paste Here'!$A:$A,'Paste Here'!L:L),0)</f>
        <v>0.63817711081535489</v>
      </c>
      <c r="N54" s="152">
        <f>IFERROR(_xlfn.XLOOKUP($B54,'Paste Here'!$A:$A,'Paste Here'!M:M),0)</f>
        <v>0.63511005456675274</v>
      </c>
      <c r="O54" s="152">
        <f>IFERROR(_xlfn.XLOOKUP($B54,'Paste Here'!$A:$A,'Paste Here'!N:N),0)</f>
        <v>0.61806049039964139</v>
      </c>
      <c r="P54" s="152">
        <f>IFERROR(_xlfn.XLOOKUP($B54,'Paste Here'!$A:$A,'Paste Here'!O:O),0)</f>
        <v>0.61518470456420327</v>
      </c>
      <c r="Q54" s="152">
        <f>IFERROR(_xlfn.XLOOKUP($B54,'Paste Here'!$A:$A,'Paste Here'!P:P),0)</f>
        <v>0.60373768157313568</v>
      </c>
      <c r="R54" s="152">
        <f>IFERROR(_xlfn.XLOOKUP($B54,'Paste Here'!$A:$A,'Paste Here'!Q:Q),0)</f>
        <v>0.60379575444822686</v>
      </c>
      <c r="S54" s="152">
        <f>IFERROR(_xlfn.XLOOKUP($B54,'Paste Here'!$A:$A,'Paste Here'!R:R),0)</f>
        <v>0.58502031632626084</v>
      </c>
      <c r="T54" s="152">
        <f>IFERROR(_xlfn.XLOOKUP($B54,'Paste Here'!$A:$A,'Paste Here'!S:S),0)</f>
        <v>0.55321433731428171</v>
      </c>
      <c r="U54" s="152">
        <f>IFERROR(_xlfn.XLOOKUP($B54,'Paste Here'!$A:$A,'Paste Here'!T:T),0)</f>
        <v>0.53887235575421144</v>
      </c>
      <c r="V54" s="152">
        <f>IFERROR(_xlfn.XLOOKUP($B54,'Paste Here'!$A:$A,'Paste Here'!U:U),0)</f>
        <v>0.54597356495143223</v>
      </c>
      <c r="W54" s="152">
        <f>IFERROR(_xlfn.XLOOKUP($B54,'Paste Here'!$A:$A,'Paste Here'!V:V),0)</f>
        <v>0.55517972250092928</v>
      </c>
      <c r="X54" s="152">
        <f>IFERROR(_xlfn.XLOOKUP($B54,'Paste Here'!$A:$A,'Paste Here'!W:W),0)</f>
        <v>0.55831151626787912</v>
      </c>
      <c r="Y54" s="152">
        <f>IFERROR(_xlfn.XLOOKUP($B54,'Paste Here'!$A:$A,'Paste Here'!X:X),0)</f>
        <v>0.55101082401818291</v>
      </c>
      <c r="Z54" s="152">
        <f>IFERROR(_xlfn.XLOOKUP($B54,'Paste Here'!$A:$A,'Paste Here'!Y:Y),0)</f>
        <v>0.54397077401640326</v>
      </c>
      <c r="AA54" s="152">
        <f>IFERROR(_xlfn.XLOOKUP($B54,'Paste Here'!$A:$A,'Paste Here'!Z:Z),0)</f>
        <v>0.53028135352448036</v>
      </c>
      <c r="AB54" s="152">
        <f>IFERROR(_xlfn.XLOOKUP($B54,'Paste Here'!$A:$A,'Paste Here'!AA:AA),0)</f>
        <v>0.52098477357192452</v>
      </c>
      <c r="AC54" s="152">
        <f>IFERROR(_xlfn.XLOOKUP($B54,'Paste Here'!$A:$A,'Paste Here'!AB:AB),0)</f>
        <v>0.51654775188937341</v>
      </c>
      <c r="AD54" s="152">
        <f>IFERROR(_xlfn.XLOOKUP($B54,'Paste Here'!$A:$A,'Paste Here'!AC:AC),0)</f>
        <v>0.52409024624005973</v>
      </c>
      <c r="AE54" s="152">
        <f>IFERROR(_xlfn.XLOOKUP($B54,'Paste Here'!$A:$A,'Paste Here'!AD:AD),0)</f>
        <v>0.52846316599301213</v>
      </c>
      <c r="AF54" s="152">
        <f>IFERROR(_xlfn.XLOOKUP($B54,'Paste Here'!$A:$A,'Paste Here'!AE:AE),0)</f>
        <v>0.52701241017991707</v>
      </c>
      <c r="AG54" s="152">
        <f>IFERROR(_xlfn.XLOOKUP($B54,'Paste Here'!$A:$A,'Paste Here'!AF:AF),0)</f>
        <v>0.51611060595346681</v>
      </c>
      <c r="AH54" s="152">
        <f>IFERROR(_xlfn.XLOOKUP($B54,'Paste Here'!$A:$A,'Paste Here'!AG:AG),0)</f>
        <v>0.5159864562042592</v>
      </c>
    </row>
    <row r="55" spans="2:34" x14ac:dyDescent="0.25">
      <c r="B55" t="s">
        <v>116</v>
      </c>
      <c r="C55" s="151">
        <v>0.72769222836898595</v>
      </c>
      <c r="D55" s="151">
        <v>0.70338808891903759</v>
      </c>
      <c r="E55" s="151">
        <v>0.69758696011809473</v>
      </c>
      <c r="F55" s="151">
        <v>0.72241891920620815</v>
      </c>
      <c r="G55" s="152">
        <v>0.70732043808052525</v>
      </c>
      <c r="H55" s="152">
        <v>0.70517965050031683</v>
      </c>
      <c r="I55" s="152">
        <v>0.69363345346297467</v>
      </c>
      <c r="J55" s="152">
        <v>0.681357518316001</v>
      </c>
      <c r="K55" s="152">
        <v>0.66480817562595151</v>
      </c>
      <c r="L55" s="152">
        <v>0.65769693662559292</v>
      </c>
      <c r="M55" s="152">
        <v>0.65170226645307272</v>
      </c>
      <c r="N55" s="152">
        <v>0.64479049106140651</v>
      </c>
      <c r="O55" s="152">
        <v>0.62189228062775415</v>
      </c>
      <c r="P55" s="152">
        <v>0.61038572504781341</v>
      </c>
      <c r="Q55" s="152">
        <v>0.6026550370333249</v>
      </c>
      <c r="R55" s="152">
        <v>0.59944270630250784</v>
      </c>
      <c r="S55" s="152">
        <v>0.58680937528687571</v>
      </c>
      <c r="T55" s="152">
        <v>0.55672714367760368</v>
      </c>
      <c r="U55" s="152">
        <v>0.54266511103041826</v>
      </c>
      <c r="V55" s="152">
        <v>0.55279664332981659</v>
      </c>
      <c r="W55" s="152">
        <v>0.56405021410886991</v>
      </c>
      <c r="X55" s="152">
        <v>0.56952526360735423</v>
      </c>
      <c r="Y55" s="152">
        <v>0.5619082372035995</v>
      </c>
      <c r="Z55" s="152">
        <v>0.55051859170182016</v>
      </c>
      <c r="AA55" s="152">
        <v>0.53757970776311648</v>
      </c>
      <c r="AB55" s="152">
        <v>0.52876626639746571</v>
      </c>
      <c r="AC55" s="152">
        <v>0.52743028797133362</v>
      </c>
      <c r="AD55" s="152">
        <v>0.53702387688483655</v>
      </c>
      <c r="AE55" s="152">
        <v>0.54069004144173038</v>
      </c>
      <c r="AF55" s="152">
        <v>0.5397581842980147</v>
      </c>
    </row>
    <row r="57" spans="2:34" x14ac:dyDescent="0.25">
      <c r="G57" t="s">
        <v>126</v>
      </c>
    </row>
  </sheetData>
  <mergeCells count="4">
    <mergeCell ref="C2:H2"/>
    <mergeCell ref="C3:H3"/>
    <mergeCell ref="I3:T3"/>
    <mergeCell ref="N1:O1"/>
  </mergeCells>
  <phoneticPr fontId="22" type="noConversion"/>
  <conditionalFormatting sqref="G55:AF55">
    <cfRule type="cellIs" dxfId="1" priority="1" operator="greaterThan">
      <formula>0.85</formula>
    </cfRule>
  </conditionalFormatting>
  <conditionalFormatting sqref="I54:AH54">
    <cfRule type="cellIs" dxfId="0" priority="3" operator="greaterThan">
      <formula>0.85</formula>
    </cfRule>
  </conditionalFormatting>
  <pageMargins left="0.7" right="0.7" top="0.75" bottom="0.75" header="0.3" footer="0.3"/>
  <pageSetup paperSize="9" orientation="portrait" verticalDpi="0" r:id="rId1"/>
  <headerFooter>
    <oddFooter>&amp;C_x000D_&amp;1#&amp;"Noto IKEA Latin"&amp;8&amp;K5A5A5A Internal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D633-7BCE-4888-97CF-9829CDEA2621}">
  <dimension ref="A1:AN46"/>
  <sheetViews>
    <sheetView workbookViewId="0">
      <selection activeCell="B1" sqref="B1:AN46"/>
    </sheetView>
  </sheetViews>
  <sheetFormatPr defaultRowHeight="15" x14ac:dyDescent="0.25"/>
  <cols>
    <col min="1" max="1" width="39.5703125" style="156" bestFit="1" customWidth="1"/>
    <col min="2" max="33" width="12" bestFit="1" customWidth="1"/>
    <col min="35" max="40" width="12" bestFit="1" customWidth="1"/>
  </cols>
  <sheetData>
    <row r="1" spans="1:40" x14ac:dyDescent="0.25">
      <c r="A1" s="156" t="s">
        <v>75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81</v>
      </c>
      <c r="AI1" t="s">
        <v>82</v>
      </c>
      <c r="AJ1" t="s">
        <v>82</v>
      </c>
      <c r="AK1" t="s">
        <v>82</v>
      </c>
      <c r="AL1" t="s">
        <v>82</v>
      </c>
      <c r="AM1" t="s">
        <v>82</v>
      </c>
      <c r="AN1" t="s">
        <v>82</v>
      </c>
    </row>
    <row r="2" spans="1:40" x14ac:dyDescent="0.25">
      <c r="A2" s="156" t="s">
        <v>76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84</v>
      </c>
      <c r="T2" t="s">
        <v>84</v>
      </c>
      <c r="U2" t="s">
        <v>84</v>
      </c>
      <c r="V2" t="s">
        <v>84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81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</row>
    <row r="3" spans="1:40" x14ac:dyDescent="0.25">
      <c r="A3" s="156" t="s">
        <v>0</v>
      </c>
      <c r="B3" s="44">
        <v>12448.035999999998</v>
      </c>
      <c r="C3" s="44">
        <v>11717.21</v>
      </c>
      <c r="D3" s="44">
        <v>10275.363999999998</v>
      </c>
      <c r="E3" s="44">
        <v>10026.023000000001</v>
      </c>
      <c r="F3" s="44">
        <v>10575.209000000001</v>
      </c>
      <c r="G3" s="44">
        <v>10369.806</v>
      </c>
      <c r="H3" s="44">
        <v>14672.400283450001</v>
      </c>
      <c r="I3" s="44">
        <v>15349.05772423879</v>
      </c>
      <c r="J3" s="44">
        <v>14353.114115378627</v>
      </c>
      <c r="K3" s="44">
        <v>14978.464439622458</v>
      </c>
      <c r="L3" s="44">
        <v>15395.956954059664</v>
      </c>
      <c r="M3" s="44">
        <v>15299.084965866681</v>
      </c>
      <c r="N3" s="44">
        <v>13189.965081678058</v>
      </c>
      <c r="O3" s="44">
        <v>13246.090074756807</v>
      </c>
      <c r="P3" s="44">
        <v>11270.433384224656</v>
      </c>
      <c r="Q3" s="44">
        <v>13347.992601662298</v>
      </c>
      <c r="R3" s="44">
        <v>9557.7071572705645</v>
      </c>
      <c r="S3" s="44">
        <v>9005.6084723712429</v>
      </c>
      <c r="T3" s="44">
        <v>10459.950423392678</v>
      </c>
      <c r="U3" s="44">
        <v>12415.626405312534</v>
      </c>
      <c r="V3" s="44">
        <v>12021.141149145484</v>
      </c>
      <c r="W3" s="44">
        <v>12413.763077752263</v>
      </c>
      <c r="X3" s="44">
        <v>12822.596300086119</v>
      </c>
      <c r="Y3" s="44">
        <v>13275.147704868352</v>
      </c>
      <c r="Z3" s="44">
        <v>11291.124434748028</v>
      </c>
      <c r="AA3" s="44">
        <v>10589.557039204816</v>
      </c>
      <c r="AB3" s="44">
        <v>11731.237255467211</v>
      </c>
      <c r="AC3" s="44">
        <v>14005.410121438706</v>
      </c>
      <c r="AD3" s="44">
        <v>13519.746505772277</v>
      </c>
      <c r="AE3" s="44">
        <v>12613.553091539012</v>
      </c>
      <c r="AF3" s="44">
        <v>13414.413512573394</v>
      </c>
      <c r="AG3" s="44">
        <v>12304.597055613463</v>
      </c>
      <c r="AH3" t="s">
        <v>81</v>
      </c>
      <c r="AI3" s="44">
        <v>59657.227025762724</v>
      </c>
      <c r="AJ3" s="44">
        <v>63797.921031180216</v>
      </c>
      <c r="AK3" s="44">
        <v>46568.318829550117</v>
      </c>
      <c r="AL3" s="44">
        <v>53143.400309453238</v>
      </c>
      <c r="AM3" s="44">
        <v>52382.464848611038</v>
      </c>
      <c r="AN3" s="44">
        <v>53553.123231323356</v>
      </c>
    </row>
    <row r="4" spans="1:40" x14ac:dyDescent="0.25">
      <c r="A4" s="156" t="s">
        <v>2</v>
      </c>
      <c r="B4" s="44">
        <v>17464.036</v>
      </c>
      <c r="C4" s="44">
        <v>9095.2099999999991</v>
      </c>
      <c r="D4" s="44">
        <v>10503.363999999998</v>
      </c>
      <c r="E4" s="44">
        <v>17607.023000000001</v>
      </c>
      <c r="F4" s="44">
        <v>14166.209000000001</v>
      </c>
      <c r="G4" s="44">
        <v>11395.806</v>
      </c>
      <c r="H4" s="44">
        <v>10691.360499999997</v>
      </c>
      <c r="I4" s="44">
        <v>12591.411881412061</v>
      </c>
      <c r="J4" s="44">
        <v>9816.422723261705</v>
      </c>
      <c r="K4" s="44">
        <v>11558.830982508942</v>
      </c>
      <c r="L4" s="44">
        <v>12722.086804289949</v>
      </c>
      <c r="M4" s="44">
        <v>12452.173212222573</v>
      </c>
      <c r="N4" s="44">
        <v>10719.757460599054</v>
      </c>
      <c r="O4" s="44">
        <v>13246.090074756803</v>
      </c>
      <c r="P4" s="44">
        <v>11270.433384224656</v>
      </c>
      <c r="Q4" s="44">
        <v>13347.992601662299</v>
      </c>
      <c r="R4" s="44">
        <v>9557.7071572705609</v>
      </c>
      <c r="S4" s="44">
        <v>9005.6084723712429</v>
      </c>
      <c r="T4" s="44">
        <v>10459.950423392678</v>
      </c>
      <c r="U4" s="44">
        <v>12415.626405312536</v>
      </c>
      <c r="V4" s="44">
        <v>12021.141149145486</v>
      </c>
      <c r="W4" s="44">
        <v>12413.763077752263</v>
      </c>
      <c r="X4" s="44">
        <v>12822.596300086117</v>
      </c>
      <c r="Y4" s="44">
        <v>13275.147704868352</v>
      </c>
      <c r="Z4" s="44">
        <v>11291.12443474803</v>
      </c>
      <c r="AA4" s="44">
        <v>10589.557039204816</v>
      </c>
      <c r="AB4" s="44">
        <v>11731.237255467207</v>
      </c>
      <c r="AC4" s="44">
        <v>14005.410121438706</v>
      </c>
      <c r="AD4" s="44">
        <v>13519.746505772275</v>
      </c>
      <c r="AE4" s="44">
        <v>12613.55309153901</v>
      </c>
      <c r="AF4" s="44">
        <v>13414.413512573394</v>
      </c>
      <c r="AG4" s="44">
        <v>12304.597055613463</v>
      </c>
      <c r="AH4" t="s">
        <v>81</v>
      </c>
      <c r="AI4" s="44">
        <v>44962.216550255565</v>
      </c>
      <c r="AJ4" s="44">
        <v>55806.931506687375</v>
      </c>
      <c r="AK4" s="44">
        <v>46568.31882955011</v>
      </c>
      <c r="AL4" s="44">
        <v>53143.400309453238</v>
      </c>
      <c r="AM4" s="44">
        <v>52382.464848611038</v>
      </c>
      <c r="AN4" s="44">
        <v>53553.123231323356</v>
      </c>
    </row>
    <row r="5" spans="1:40" x14ac:dyDescent="0.25">
      <c r="A5" s="156" t="s">
        <v>1</v>
      </c>
      <c r="B5" s="44">
        <v>191.42200000000003</v>
      </c>
      <c r="C5" s="44">
        <v>51.860999999999997</v>
      </c>
      <c r="D5" s="44">
        <v>0</v>
      </c>
      <c r="E5" s="44">
        <v>0</v>
      </c>
      <c r="F5" s="44">
        <v>0</v>
      </c>
      <c r="G5" s="44">
        <v>0.51900000000000002</v>
      </c>
      <c r="H5" s="44">
        <v>5.2709999999999999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t="s">
        <v>81</v>
      </c>
      <c r="AI5" s="44">
        <v>5.2709999999999999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</row>
    <row r="6" spans="1:40" x14ac:dyDescent="0.25">
      <c r="A6" s="156" t="s">
        <v>60</v>
      </c>
      <c r="B6" s="44">
        <v>17655.457999999999</v>
      </c>
      <c r="C6" s="44">
        <v>9147.0709999999981</v>
      </c>
      <c r="D6" s="44">
        <v>10503.363999999998</v>
      </c>
      <c r="E6" s="44">
        <v>17607.023000000001</v>
      </c>
      <c r="F6" s="44">
        <v>14166.209000000001</v>
      </c>
      <c r="G6" s="44">
        <v>11396.325000000001</v>
      </c>
      <c r="H6" s="44">
        <v>10696.631499999998</v>
      </c>
      <c r="I6" s="44">
        <v>12591.411881412061</v>
      </c>
      <c r="J6" s="44">
        <v>9816.422723261705</v>
      </c>
      <c r="K6" s="44">
        <v>11558.830982508942</v>
      </c>
      <c r="L6" s="44">
        <v>12722.086804289949</v>
      </c>
      <c r="M6" s="44">
        <v>12452.173212222573</v>
      </c>
      <c r="N6" s="44">
        <v>10719.757460599054</v>
      </c>
      <c r="O6" s="44">
        <v>13246.090074756803</v>
      </c>
      <c r="P6" s="44">
        <v>11270.433384224656</v>
      </c>
      <c r="Q6" s="44">
        <v>13347.992601662299</v>
      </c>
      <c r="R6" s="44">
        <v>9557.7071572705609</v>
      </c>
      <c r="S6" s="44">
        <v>9005.6084723712429</v>
      </c>
      <c r="T6" s="44">
        <v>10459.950423392678</v>
      </c>
      <c r="U6" s="44">
        <v>12415.626405312536</v>
      </c>
      <c r="V6" s="44">
        <v>12021.141149145486</v>
      </c>
      <c r="W6" s="44">
        <v>12413.763077752263</v>
      </c>
      <c r="X6" s="44">
        <v>12822.596300086117</v>
      </c>
      <c r="Y6" s="44">
        <v>13275.147704868352</v>
      </c>
      <c r="Z6" s="44">
        <v>11291.12443474803</v>
      </c>
      <c r="AA6" s="44">
        <v>10589.557039204816</v>
      </c>
      <c r="AB6" s="44">
        <v>11731.237255467207</v>
      </c>
      <c r="AC6" s="44">
        <v>14005.410121438706</v>
      </c>
      <c r="AD6" s="44">
        <v>13519.746505772275</v>
      </c>
      <c r="AE6" s="44">
        <v>12613.55309153901</v>
      </c>
      <c r="AF6" s="44">
        <v>13414.413512573394</v>
      </c>
      <c r="AG6" s="44">
        <v>12304.597055613463</v>
      </c>
      <c r="AH6" t="s">
        <v>81</v>
      </c>
      <c r="AI6" s="44">
        <v>44967.487550255559</v>
      </c>
      <c r="AJ6" s="44">
        <v>55806.931506687375</v>
      </c>
      <c r="AK6" s="44">
        <v>46568.31882955011</v>
      </c>
      <c r="AL6" s="44">
        <v>53143.400309453238</v>
      </c>
      <c r="AM6" s="44">
        <v>52382.464848611038</v>
      </c>
      <c r="AN6" s="44">
        <v>53553.123231323356</v>
      </c>
    </row>
    <row r="7" spans="1:40" x14ac:dyDescent="0.25">
      <c r="A7" s="156" t="s">
        <v>3</v>
      </c>
      <c r="B7" s="44">
        <v>6489.9530000000004</v>
      </c>
      <c r="C7" s="44">
        <v>8016.13</v>
      </c>
      <c r="D7" s="44">
        <v>8413.51</v>
      </c>
      <c r="E7" s="44">
        <v>7785.01</v>
      </c>
      <c r="F7" s="44">
        <v>8503.8339999999989</v>
      </c>
      <c r="G7" s="44">
        <v>7333.4699999999993</v>
      </c>
      <c r="H7" s="44">
        <v>11180.796999999999</v>
      </c>
      <c r="I7" s="44">
        <v>8371.8130000000001</v>
      </c>
      <c r="J7" s="44">
        <v>10117.606000000002</v>
      </c>
      <c r="K7" s="44">
        <v>8669.8359999999993</v>
      </c>
      <c r="L7" s="44">
        <v>8260.0560000000005</v>
      </c>
      <c r="M7" s="44">
        <v>9513.43</v>
      </c>
      <c r="N7" s="44">
        <v>10133.839999999998</v>
      </c>
      <c r="O7" s="44">
        <v>9543.5000000000018</v>
      </c>
      <c r="P7" s="44">
        <v>9795</v>
      </c>
      <c r="Q7" s="44">
        <v>9766.619999999999</v>
      </c>
      <c r="R7" s="44">
        <v>9361.33</v>
      </c>
      <c r="S7" s="44">
        <v>9499.2000000000007</v>
      </c>
      <c r="T7" s="44">
        <v>9012.2999999999975</v>
      </c>
      <c r="U7" s="44">
        <v>7789.93</v>
      </c>
      <c r="V7" s="44">
        <v>7887.95</v>
      </c>
      <c r="W7" s="44">
        <v>9269.7100000000009</v>
      </c>
      <c r="X7" s="44">
        <v>9218.4399999999987</v>
      </c>
      <c r="Y7" s="44">
        <v>9113.91</v>
      </c>
      <c r="Z7" s="44">
        <v>5638.4599999999991</v>
      </c>
      <c r="AA7" s="44">
        <v>6800.3499999999995</v>
      </c>
      <c r="AB7" s="44">
        <v>8111.1399999999985</v>
      </c>
      <c r="AC7" s="44">
        <v>8464.4600000000009</v>
      </c>
      <c r="AD7" s="44">
        <v>8640.17</v>
      </c>
      <c r="AE7" s="44">
        <v>8750.5199999999986</v>
      </c>
      <c r="AF7" s="44">
        <v>9396.1299999999992</v>
      </c>
      <c r="AG7" s="44">
        <v>8209.9900000000016</v>
      </c>
      <c r="AH7" t="s">
        <v>81</v>
      </c>
      <c r="AI7" s="44">
        <v>39812.511999999995</v>
      </c>
      <c r="AJ7" s="44">
        <v>41059.979999999989</v>
      </c>
      <c r="AK7" s="44">
        <v>41010.472199252989</v>
      </c>
      <c r="AL7" s="44">
        <v>38487.285870080515</v>
      </c>
      <c r="AM7" s="44">
        <v>33079.841930666509</v>
      </c>
      <c r="AN7" s="44">
        <v>35251.280000000006</v>
      </c>
    </row>
    <row r="8" spans="1:40" x14ac:dyDescent="0.25">
      <c r="A8" s="156" t="s">
        <v>4</v>
      </c>
      <c r="B8" s="44">
        <v>19129.411</v>
      </c>
      <c r="C8" s="44">
        <v>19785.200999999997</v>
      </c>
      <c r="D8" s="44">
        <v>18688.874</v>
      </c>
      <c r="E8" s="44">
        <v>17811.032999999999</v>
      </c>
      <c r="F8" s="44">
        <v>19079.042999999998</v>
      </c>
      <c r="G8" s="44">
        <v>17703.794999999998</v>
      </c>
      <c r="H8" s="44">
        <v>25858.468283450002</v>
      </c>
      <c r="I8" s="44">
        <v>23720.870724238786</v>
      </c>
      <c r="J8" s="44">
        <v>24470.720115378626</v>
      </c>
      <c r="K8" s="44">
        <v>23648.30043962245</v>
      </c>
      <c r="L8" s="44">
        <v>23656.012954059664</v>
      </c>
      <c r="M8" s="44">
        <v>24812.514965866685</v>
      </c>
      <c r="N8" s="44">
        <v>23323.80508167806</v>
      </c>
      <c r="O8" s="44">
        <v>22789.590074756808</v>
      </c>
      <c r="P8" s="44">
        <v>21065.433384224656</v>
      </c>
      <c r="Q8" s="44">
        <v>23114.612601662295</v>
      </c>
      <c r="R8" s="44">
        <v>18919.037157270563</v>
      </c>
      <c r="S8" s="44">
        <v>18504.808472371242</v>
      </c>
      <c r="T8" s="44">
        <v>19472.250423392674</v>
      </c>
      <c r="U8" s="44">
        <v>20205.556405312538</v>
      </c>
      <c r="V8" s="44">
        <v>19909.091149145486</v>
      </c>
      <c r="W8" s="44">
        <v>21683.47307775226</v>
      </c>
      <c r="X8" s="44">
        <v>22041.036300086122</v>
      </c>
      <c r="Y8" s="44">
        <v>22389.057704868352</v>
      </c>
      <c r="Z8" s="44">
        <v>16929.584434748027</v>
      </c>
      <c r="AA8" s="44">
        <v>17389.907039204816</v>
      </c>
      <c r="AB8" s="44">
        <v>19842.377255467207</v>
      </c>
      <c r="AC8" s="44">
        <v>22469.870121438704</v>
      </c>
      <c r="AD8" s="44">
        <v>22159.916505772275</v>
      </c>
      <c r="AE8" s="44">
        <v>21364.073091539016</v>
      </c>
      <c r="AF8" s="44">
        <v>22810.543512573393</v>
      </c>
      <c r="AG8" s="44">
        <v>20514.587055613465</v>
      </c>
      <c r="AH8" t="s">
        <v>81</v>
      </c>
      <c r="AI8" s="44">
        <v>99475.01002576272</v>
      </c>
      <c r="AJ8" s="44">
        <v>104857.90103118023</v>
      </c>
      <c r="AK8" s="44">
        <v>87578.791028803113</v>
      </c>
      <c r="AL8" s="44">
        <v>91630.686179533746</v>
      </c>
      <c r="AM8" s="44">
        <v>85462.306779277525</v>
      </c>
      <c r="AN8" s="44">
        <v>88804.403231323391</v>
      </c>
    </row>
    <row r="9" spans="1:40" x14ac:dyDescent="0.25">
      <c r="A9" s="156" t="s">
        <v>5</v>
      </c>
      <c r="B9" s="44">
        <v>24145.411</v>
      </c>
      <c r="C9" s="44">
        <v>17163.200999999997</v>
      </c>
      <c r="D9" s="44">
        <v>18916.874000000003</v>
      </c>
      <c r="E9" s="44">
        <v>25392.033000000003</v>
      </c>
      <c r="F9" s="44">
        <v>22670.043000000001</v>
      </c>
      <c r="G9" s="44">
        <v>18729.794999999998</v>
      </c>
      <c r="H9" s="44">
        <v>21877.428499999998</v>
      </c>
      <c r="I9" s="44">
        <v>20963.224881412061</v>
      </c>
      <c r="J9" s="44">
        <v>19934.028723261705</v>
      </c>
      <c r="K9" s="44">
        <v>20228.666982508938</v>
      </c>
      <c r="L9" s="44">
        <v>20982.14280428995</v>
      </c>
      <c r="M9" s="44">
        <v>21965.603212222577</v>
      </c>
      <c r="N9" s="44">
        <v>20853.597460599056</v>
      </c>
      <c r="O9" s="44">
        <v>22789.590074756805</v>
      </c>
      <c r="P9" s="44">
        <v>21065.433384224656</v>
      </c>
      <c r="Q9" s="44">
        <v>23114.612601662298</v>
      </c>
      <c r="R9" s="44">
        <v>18919.037157270563</v>
      </c>
      <c r="S9" s="44">
        <v>18504.808472371242</v>
      </c>
      <c r="T9" s="44">
        <v>19472.250423392674</v>
      </c>
      <c r="U9" s="44">
        <v>20205.556405312538</v>
      </c>
      <c r="V9" s="44">
        <v>19909.091149145486</v>
      </c>
      <c r="W9" s="44">
        <v>21683.47307775226</v>
      </c>
      <c r="X9" s="44">
        <v>22041.036300086122</v>
      </c>
      <c r="Y9" s="44">
        <v>22389.057704868352</v>
      </c>
      <c r="Z9" s="44">
        <v>16929.584434748031</v>
      </c>
      <c r="AA9" s="44">
        <v>17389.907039204816</v>
      </c>
      <c r="AB9" s="44">
        <v>19842.377255467203</v>
      </c>
      <c r="AC9" s="44">
        <v>22469.870121438704</v>
      </c>
      <c r="AD9" s="44">
        <v>22159.916505772271</v>
      </c>
      <c r="AE9" s="44">
        <v>21364.073091539012</v>
      </c>
      <c r="AF9" s="44">
        <v>22810.543512573393</v>
      </c>
      <c r="AG9" s="44">
        <v>20514.587055613465</v>
      </c>
      <c r="AH9" t="s">
        <v>81</v>
      </c>
      <c r="AI9" s="44">
        <v>84779.999550255568</v>
      </c>
      <c r="AJ9" s="44">
        <v>96866.911506687378</v>
      </c>
      <c r="AK9" s="44">
        <v>87578.791028803113</v>
      </c>
      <c r="AL9" s="44">
        <v>91630.686179533746</v>
      </c>
      <c r="AM9" s="44">
        <v>85462.306779277525</v>
      </c>
      <c r="AN9" s="44">
        <v>88804.403231323391</v>
      </c>
    </row>
    <row r="10" spans="1:40" x14ac:dyDescent="0.25">
      <c r="A10" s="156" t="s">
        <v>63</v>
      </c>
      <c r="B10" s="44">
        <v>4918.0049999999992</v>
      </c>
      <c r="C10" s="44">
        <v>4182.2859999999991</v>
      </c>
      <c r="D10" s="44">
        <v>4576.3840000000009</v>
      </c>
      <c r="E10" s="44">
        <v>4214.8849999999993</v>
      </c>
      <c r="F10" s="44">
        <v>4870.5720000000001</v>
      </c>
      <c r="G10" s="44">
        <v>4541.3829999999998</v>
      </c>
      <c r="H10" s="44">
        <v>3837.12928345</v>
      </c>
      <c r="I10" s="44">
        <v>4519.0577242387881</v>
      </c>
      <c r="J10" s="44">
        <v>3523.1141153786266</v>
      </c>
      <c r="K10" s="44">
        <v>4148.4644396224594</v>
      </c>
      <c r="L10" s="44">
        <v>4565.9569540596622</v>
      </c>
      <c r="M10" s="44">
        <v>4469.0849658666821</v>
      </c>
      <c r="N10" s="44">
        <v>3847.3209526090004</v>
      </c>
      <c r="O10" s="44">
        <v>4754.0217278302171</v>
      </c>
      <c r="P10" s="44">
        <v>4044.9585415982283</v>
      </c>
      <c r="Q10" s="44">
        <v>4790.5945447365984</v>
      </c>
      <c r="R10" s="44">
        <v>3430.2610987444036</v>
      </c>
      <c r="S10" s="44">
        <v>3232.1128807340392</v>
      </c>
      <c r="T10" s="44">
        <v>3754.0762069556322</v>
      </c>
      <c r="U10" s="44">
        <v>4455.9683168666688</v>
      </c>
      <c r="V10" s="44">
        <v>4314.3875584283142</v>
      </c>
      <c r="W10" s="44">
        <v>4455.2995686052873</v>
      </c>
      <c r="X10" s="44">
        <v>4602.0298121009073</v>
      </c>
      <c r="Y10" s="44">
        <v>4764.4505112772522</v>
      </c>
      <c r="Z10" s="44">
        <v>4052.384559631068</v>
      </c>
      <c r="AA10" s="44">
        <v>3800.5920213706081</v>
      </c>
      <c r="AB10" s="44">
        <v>4210.341050987181</v>
      </c>
      <c r="AC10" s="44">
        <v>5026.5416925843519</v>
      </c>
      <c r="AD10" s="44">
        <v>4852.2370209216697</v>
      </c>
      <c r="AE10" s="44">
        <v>4527.0042045533501</v>
      </c>
      <c r="AF10" s="44">
        <v>4814.4330096625908</v>
      </c>
      <c r="AG10" s="44">
        <v>4416.119883259672</v>
      </c>
      <c r="AH10" t="s">
        <v>81</v>
      </c>
      <c r="AI10" s="44">
        <v>16558.290484186728</v>
      </c>
      <c r="AJ10" s="44">
        <v>20029.107717750107</v>
      </c>
      <c r="AK10" s="44">
        <v>16713.369627925535</v>
      </c>
      <c r="AL10" s="44">
        <v>19073.166371062765</v>
      </c>
      <c r="AM10" s="44">
        <v>18800.066634166509</v>
      </c>
      <c r="AN10" s="44">
        <v>19220.215927721951</v>
      </c>
    </row>
    <row r="11" spans="1:40" x14ac:dyDescent="0.25">
      <c r="A11" s="156" t="s">
        <v>64</v>
      </c>
      <c r="B11" s="44">
        <v>6489.9530000000004</v>
      </c>
      <c r="C11" s="44">
        <v>8016.13</v>
      </c>
      <c r="D11" s="44">
        <v>8413.51</v>
      </c>
      <c r="E11" s="44">
        <v>7785.01</v>
      </c>
      <c r="F11" s="44">
        <v>8503.8339999999989</v>
      </c>
      <c r="G11" s="44">
        <v>7333.4699999999993</v>
      </c>
      <c r="H11" s="44">
        <v>11180.796999999999</v>
      </c>
      <c r="I11" s="44">
        <v>8371.8130000000001</v>
      </c>
      <c r="J11" s="44">
        <v>10117.606000000002</v>
      </c>
      <c r="K11" s="44">
        <v>8669.8359999999993</v>
      </c>
      <c r="L11" s="44">
        <v>8260.0560000000005</v>
      </c>
      <c r="M11" s="44">
        <v>9513.43</v>
      </c>
      <c r="N11" s="44">
        <v>10133.839999999998</v>
      </c>
      <c r="O11" s="44">
        <v>9543.5000000000018</v>
      </c>
      <c r="P11" s="44">
        <v>9795</v>
      </c>
      <c r="Q11" s="44">
        <v>9766.619999999999</v>
      </c>
      <c r="R11" s="44">
        <v>9361.33</v>
      </c>
      <c r="S11" s="44">
        <v>9499.2000000000007</v>
      </c>
      <c r="T11" s="44">
        <v>9012.2999999999975</v>
      </c>
      <c r="U11" s="44">
        <v>7789.93</v>
      </c>
      <c r="V11" s="44">
        <v>7887.95</v>
      </c>
      <c r="W11" s="44">
        <v>9269.7100000000009</v>
      </c>
      <c r="X11" s="44">
        <v>9218.4399999999987</v>
      </c>
      <c r="Y11" s="44">
        <v>9113.91</v>
      </c>
      <c r="Z11" s="44">
        <v>5638.4599999999991</v>
      </c>
      <c r="AA11" s="44">
        <v>6800.3499999999995</v>
      </c>
      <c r="AB11" s="44">
        <v>8111.1399999999985</v>
      </c>
      <c r="AC11" s="44">
        <v>8464.4600000000009</v>
      </c>
      <c r="AD11" s="44">
        <v>8640.17</v>
      </c>
      <c r="AE11" s="44">
        <v>8750.5199999999986</v>
      </c>
      <c r="AF11" s="44">
        <v>9396.1299999999992</v>
      </c>
      <c r="AG11" s="44">
        <v>8209.9900000000016</v>
      </c>
      <c r="AH11" t="s">
        <v>81</v>
      </c>
      <c r="AI11" s="44">
        <v>39812.511999999995</v>
      </c>
      <c r="AJ11" s="44">
        <v>41059.979999999989</v>
      </c>
      <c r="AK11" s="44">
        <v>41010.472199252989</v>
      </c>
      <c r="AL11" s="44">
        <v>38487.285870080515</v>
      </c>
      <c r="AM11" s="44">
        <v>33079.841930666509</v>
      </c>
      <c r="AN11" s="44">
        <v>35251.280000000006</v>
      </c>
    </row>
    <row r="12" spans="1:40" x14ac:dyDescent="0.25">
      <c r="A12" s="156" t="s">
        <v>65</v>
      </c>
      <c r="B12" s="44">
        <v>12737.453</v>
      </c>
      <c r="C12" s="44">
        <v>4964.7849999999999</v>
      </c>
      <c r="D12" s="44">
        <v>5926.98</v>
      </c>
      <c r="E12" s="44">
        <v>13392.137999999999</v>
      </c>
      <c r="F12" s="44">
        <v>9295.6370000000006</v>
      </c>
      <c r="G12" s="44">
        <v>6854.9419999999991</v>
      </c>
      <c r="H12" s="44">
        <v>6854.2312165499998</v>
      </c>
      <c r="I12" s="44">
        <v>8072.3541571732712</v>
      </c>
      <c r="J12" s="44">
        <v>6293.3086078830793</v>
      </c>
      <c r="K12" s="44">
        <v>7410.3665428864833</v>
      </c>
      <c r="L12" s="44">
        <v>8156.129850230287</v>
      </c>
      <c r="M12" s="44">
        <v>7983.0882463558928</v>
      </c>
      <c r="N12" s="44">
        <v>6872.4365079900545</v>
      </c>
      <c r="O12" s="44">
        <v>8492.0683469265878</v>
      </c>
      <c r="P12" s="44">
        <v>7225.4748426264268</v>
      </c>
      <c r="Q12" s="44">
        <v>8557.3980569257001</v>
      </c>
      <c r="R12" s="44">
        <v>6127.4460585261559</v>
      </c>
      <c r="S12" s="44">
        <v>5773.4955916372046</v>
      </c>
      <c r="T12" s="44">
        <v>6705.8742164370478</v>
      </c>
      <c r="U12" s="44">
        <v>7959.6580884458654</v>
      </c>
      <c r="V12" s="44">
        <v>7706.7535907171714</v>
      </c>
      <c r="W12" s="44">
        <v>7958.4635091469754</v>
      </c>
      <c r="X12" s="44">
        <v>8220.5664879852102</v>
      </c>
      <c r="Y12" s="44">
        <v>8510.6971935911006</v>
      </c>
      <c r="Z12" s="44">
        <v>7238.7398751169621</v>
      </c>
      <c r="AA12" s="44">
        <v>6788.9650178342072</v>
      </c>
      <c r="AB12" s="44">
        <v>7520.8962044800282</v>
      </c>
      <c r="AC12" s="44">
        <v>8978.8684288543554</v>
      </c>
      <c r="AD12" s="44">
        <v>8667.5094848506069</v>
      </c>
      <c r="AE12" s="44">
        <v>8086.5488869856572</v>
      </c>
      <c r="AF12" s="44">
        <v>8599.9805029108029</v>
      </c>
      <c r="AG12" s="44">
        <v>7888.4771723537924</v>
      </c>
      <c r="AH12" t="s">
        <v>81</v>
      </c>
      <c r="AI12" s="44">
        <v>28403.926066068863</v>
      </c>
      <c r="AJ12" s="44">
        <v>35777.823788937283</v>
      </c>
      <c r="AK12" s="44">
        <v>29854.949201624579</v>
      </c>
      <c r="AL12" s="44">
        <v>34070.233938390455</v>
      </c>
      <c r="AM12" s="44">
        <v>33582.398214444533</v>
      </c>
      <c r="AN12" s="44">
        <v>34332.907303601423</v>
      </c>
    </row>
    <row r="13" spans="1:40" x14ac:dyDescent="0.25">
      <c r="A13" s="156" t="s">
        <v>66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t="s">
        <v>81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</row>
    <row r="14" spans="1:40" x14ac:dyDescent="0.25">
      <c r="A14" s="156" t="s">
        <v>7</v>
      </c>
      <c r="B14" s="44">
        <v>10007.477000000001</v>
      </c>
      <c r="C14" s="44">
        <v>9971.09</v>
      </c>
      <c r="D14" s="44">
        <v>8690.5730000000003</v>
      </c>
      <c r="E14" s="44">
        <v>8999.5210000000006</v>
      </c>
      <c r="F14" s="44">
        <v>10979.087</v>
      </c>
      <c r="G14" s="44">
        <v>10368.393000000002</v>
      </c>
      <c r="H14" s="44">
        <v>13011.91382881278</v>
      </c>
      <c r="I14" s="44">
        <v>10361.632413317559</v>
      </c>
      <c r="J14" s="44">
        <v>9605.3558516513131</v>
      </c>
      <c r="K14" s="44">
        <v>9730.1157919145426</v>
      </c>
      <c r="L14" s="44">
        <v>9577.4699999999993</v>
      </c>
      <c r="M14" s="44">
        <v>9686.0499999999993</v>
      </c>
      <c r="N14" s="44">
        <v>10576.203516713305</v>
      </c>
      <c r="O14" s="44">
        <v>10232.150000000001</v>
      </c>
      <c r="P14" s="44">
        <v>9955.7400000000016</v>
      </c>
      <c r="Q14" s="44">
        <v>9866.92</v>
      </c>
      <c r="R14" s="44">
        <v>9510.11</v>
      </c>
      <c r="S14" s="44">
        <v>11271.227700344791</v>
      </c>
      <c r="T14" s="44">
        <v>9922.08</v>
      </c>
      <c r="U14" s="44">
        <v>8213.43</v>
      </c>
      <c r="V14" s="44">
        <v>7736.6696785654249</v>
      </c>
      <c r="W14" s="44">
        <v>8425.5583824337591</v>
      </c>
      <c r="X14" s="44">
        <v>10522.060000000001</v>
      </c>
      <c r="Y14" s="44">
        <v>10053.91</v>
      </c>
      <c r="Z14" s="44">
        <v>9648.93</v>
      </c>
      <c r="AA14" s="44">
        <v>8724.966999519349</v>
      </c>
      <c r="AB14" s="44">
        <v>8859.7760910418092</v>
      </c>
      <c r="AC14" s="44">
        <v>8737.901607962749</v>
      </c>
      <c r="AD14" s="44">
        <v>8736.85</v>
      </c>
      <c r="AE14" s="44">
        <v>8813.8880465297625</v>
      </c>
      <c r="AF14" s="44">
        <v>11255.759999999998</v>
      </c>
      <c r="AG14" s="44">
        <v>8833.2000000000007</v>
      </c>
      <c r="AH14" t="s">
        <v>81</v>
      </c>
      <c r="AI14" s="44">
        <v>45140.28260968149</v>
      </c>
      <c r="AJ14" s="44">
        <v>45279.486792727992</v>
      </c>
      <c r="AK14" s="44">
        <v>42979.727700344796</v>
      </c>
      <c r="AL14" s="44">
        <v>39229.558060999188</v>
      </c>
      <c r="AM14" s="44">
        <v>41725.133090561154</v>
      </c>
      <c r="AN14" s="44">
        <v>37544.399654492518</v>
      </c>
    </row>
    <row r="15" spans="1:40" x14ac:dyDescent="0.25">
      <c r="A15" s="156" t="s">
        <v>8</v>
      </c>
      <c r="B15" s="44">
        <v>3629.4190000000003</v>
      </c>
      <c r="C15" s="44">
        <v>3876.8670000000002</v>
      </c>
      <c r="D15" s="44">
        <v>3382.087</v>
      </c>
      <c r="E15" s="44">
        <v>4102.25</v>
      </c>
      <c r="F15" s="44">
        <v>3643.7550000000001</v>
      </c>
      <c r="G15" s="44">
        <v>3723.7109999999993</v>
      </c>
      <c r="H15" s="44">
        <v>3894.4361711872225</v>
      </c>
      <c r="I15" s="44">
        <v>3725.5275866824445</v>
      </c>
      <c r="J15" s="44">
        <v>3596.4441483486908</v>
      </c>
      <c r="K15" s="44">
        <v>3562.7742080854564</v>
      </c>
      <c r="L15" s="44">
        <v>3578.61</v>
      </c>
      <c r="M15" s="44">
        <v>3393.69</v>
      </c>
      <c r="N15" s="44">
        <v>3632.1564832866934</v>
      </c>
      <c r="O15" s="44">
        <v>3602.37</v>
      </c>
      <c r="P15" s="44">
        <v>3656.9299999999994</v>
      </c>
      <c r="Q15" s="44">
        <v>3469.1899999999996</v>
      </c>
      <c r="R15" s="44">
        <v>3889.34</v>
      </c>
      <c r="S15" s="44">
        <v>4242.3722996552087</v>
      </c>
      <c r="T15" s="44">
        <v>3472.46</v>
      </c>
      <c r="U15" s="44">
        <v>2749.1800000000003</v>
      </c>
      <c r="V15" s="44">
        <v>2400.7503214345743</v>
      </c>
      <c r="W15" s="44">
        <v>3347.3916175662434</v>
      </c>
      <c r="X15" s="44">
        <v>3794.3700000000003</v>
      </c>
      <c r="Y15" s="44">
        <v>4661.74</v>
      </c>
      <c r="Z15" s="44">
        <v>4443.2599999999993</v>
      </c>
      <c r="AA15" s="44">
        <v>3766.8130004806521</v>
      </c>
      <c r="AB15" s="44">
        <v>3779.3439089581907</v>
      </c>
      <c r="AC15" s="44">
        <v>3724.1983920372531</v>
      </c>
      <c r="AD15" s="44">
        <v>3888.13</v>
      </c>
      <c r="AE15" s="44">
        <v>4096.5119534702362</v>
      </c>
      <c r="AF15" s="44">
        <v>4389.33</v>
      </c>
      <c r="AG15" s="44">
        <v>3496.8</v>
      </c>
      <c r="AH15" t="s">
        <v>81</v>
      </c>
      <c r="AI15" s="44">
        <v>15669.438566142941</v>
      </c>
      <c r="AJ15" s="44">
        <v>15922.498031447565</v>
      </c>
      <c r="AK15" s="44">
        <v>16197.132299655208</v>
      </c>
      <c r="AL15" s="44">
        <v>13587.011939000819</v>
      </c>
      <c r="AM15" s="44">
        <v>18372.736909438838</v>
      </c>
      <c r="AN15" s="44">
        <v>16098.170345507489</v>
      </c>
    </row>
    <row r="16" spans="1:40" x14ac:dyDescent="0.25">
      <c r="A16" s="156" t="s">
        <v>9</v>
      </c>
      <c r="B16" s="44">
        <v>297.82299999999998</v>
      </c>
      <c r="C16" s="44">
        <v>0</v>
      </c>
      <c r="D16" s="44">
        <v>0</v>
      </c>
      <c r="E16" s="44">
        <v>0</v>
      </c>
      <c r="F16" s="44">
        <v>201.25400000000002</v>
      </c>
      <c r="G16" s="44">
        <v>40.454999999999998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t="s">
        <v>81</v>
      </c>
      <c r="AI16" s="44">
        <v>40.454999999999998</v>
      </c>
      <c r="AJ16" s="44">
        <v>0</v>
      </c>
      <c r="AK16" s="44">
        <v>0</v>
      </c>
      <c r="AL16" s="44">
        <v>0</v>
      </c>
      <c r="AM16" s="44">
        <v>0</v>
      </c>
      <c r="AN16" s="44">
        <v>0</v>
      </c>
    </row>
    <row r="17" spans="1:40" x14ac:dyDescent="0.25">
      <c r="A17" s="156" t="s">
        <v>10</v>
      </c>
      <c r="B17" s="44">
        <v>13934.719000000001</v>
      </c>
      <c r="C17" s="44">
        <v>13847.957000000002</v>
      </c>
      <c r="D17" s="44">
        <v>12072.660000000002</v>
      </c>
      <c r="E17" s="44">
        <v>13101.771000000001</v>
      </c>
      <c r="F17" s="44">
        <v>14824.096</v>
      </c>
      <c r="G17" s="44">
        <v>14132.558999999999</v>
      </c>
      <c r="H17" s="44">
        <v>16906.350000000002</v>
      </c>
      <c r="I17" s="44">
        <v>14087.160000000002</v>
      </c>
      <c r="J17" s="44">
        <v>13201.800000000003</v>
      </c>
      <c r="K17" s="44">
        <v>13292.889999999998</v>
      </c>
      <c r="L17" s="44">
        <v>13156.079999999998</v>
      </c>
      <c r="M17" s="44">
        <v>13079.739999999998</v>
      </c>
      <c r="N17" s="44">
        <v>14208.36</v>
      </c>
      <c r="O17" s="44">
        <v>13834.520000000002</v>
      </c>
      <c r="P17" s="44">
        <v>13612.67</v>
      </c>
      <c r="Q17" s="44">
        <v>13336.11</v>
      </c>
      <c r="R17" s="44">
        <v>13399.449999999999</v>
      </c>
      <c r="S17" s="44">
        <v>15513.6</v>
      </c>
      <c r="T17" s="44">
        <v>13394.54</v>
      </c>
      <c r="U17" s="44">
        <v>10962.609999999999</v>
      </c>
      <c r="V17" s="44">
        <v>10137.419999999998</v>
      </c>
      <c r="W17" s="44">
        <v>11772.950000000003</v>
      </c>
      <c r="X17" s="44">
        <v>14316.430000000002</v>
      </c>
      <c r="Y17" s="44">
        <v>14715.650000000003</v>
      </c>
      <c r="Z17" s="44">
        <v>14092.19</v>
      </c>
      <c r="AA17" s="44">
        <v>12491.780000000002</v>
      </c>
      <c r="AB17" s="44">
        <v>12639.119999999999</v>
      </c>
      <c r="AC17" s="44">
        <v>12462.1</v>
      </c>
      <c r="AD17" s="44">
        <v>12624.98</v>
      </c>
      <c r="AE17" s="44">
        <v>12910.399999999998</v>
      </c>
      <c r="AF17" s="44">
        <v>15645.09</v>
      </c>
      <c r="AG17" s="44">
        <v>12330</v>
      </c>
      <c r="AH17" t="s">
        <v>81</v>
      </c>
      <c r="AI17" s="44">
        <v>60850.176175824425</v>
      </c>
      <c r="AJ17" s="44">
        <v>61201.984824175554</v>
      </c>
      <c r="AK17" s="44">
        <v>59176.860000000008</v>
      </c>
      <c r="AL17" s="44">
        <v>52816.57</v>
      </c>
      <c r="AM17" s="44">
        <v>60097.870000000024</v>
      </c>
      <c r="AN17" s="44">
        <v>53642.570000000014</v>
      </c>
    </row>
    <row r="18" spans="1:40" x14ac:dyDescent="0.25">
      <c r="A18" s="156" t="s">
        <v>11</v>
      </c>
      <c r="B18" s="44">
        <v>6815.12</v>
      </c>
      <c r="C18" s="44">
        <v>7643.7059999999992</v>
      </c>
      <c r="D18" s="44">
        <v>8230.7090000000007</v>
      </c>
      <c r="E18" s="44">
        <v>7483.62</v>
      </c>
      <c r="F18" s="44">
        <v>7821.6380000000008</v>
      </c>
      <c r="G18" s="44">
        <v>7754.7690000000002</v>
      </c>
      <c r="H18" s="44">
        <v>11180.796999999999</v>
      </c>
      <c r="I18" s="44">
        <v>8371.8130000000001</v>
      </c>
      <c r="J18" s="44">
        <v>10117.606000000002</v>
      </c>
      <c r="K18" s="44">
        <v>8669.8359999999993</v>
      </c>
      <c r="L18" s="44">
        <v>8260.0560000000005</v>
      </c>
      <c r="M18" s="44">
        <v>9513.43</v>
      </c>
      <c r="N18" s="44">
        <v>10133.839999999998</v>
      </c>
      <c r="O18" s="44">
        <v>9543.5000000000018</v>
      </c>
      <c r="P18" s="44">
        <v>9795</v>
      </c>
      <c r="Q18" s="44">
        <v>9766.619999999999</v>
      </c>
      <c r="R18" s="44">
        <v>9361.33</v>
      </c>
      <c r="S18" s="44">
        <v>9499.2000000000007</v>
      </c>
      <c r="T18" s="44">
        <v>9012.2999999999975</v>
      </c>
      <c r="U18" s="44">
        <v>7789.93</v>
      </c>
      <c r="V18" s="44">
        <v>7887.95</v>
      </c>
      <c r="W18" s="44">
        <v>9269.7100000000009</v>
      </c>
      <c r="X18" s="44">
        <v>9218.4399999999987</v>
      </c>
      <c r="Y18" s="44">
        <v>9113.91</v>
      </c>
      <c r="Z18" s="44">
        <v>5638.4599999999991</v>
      </c>
      <c r="AA18" s="44">
        <v>6800.3499999999995</v>
      </c>
      <c r="AB18" s="44">
        <v>8111.1399999999985</v>
      </c>
      <c r="AC18" s="44">
        <v>8464.4600000000009</v>
      </c>
      <c r="AD18" s="44">
        <v>8640.17</v>
      </c>
      <c r="AE18" s="44">
        <v>8750.5199999999986</v>
      </c>
      <c r="AF18" s="44">
        <v>9396.1299999999992</v>
      </c>
      <c r="AG18" s="44">
        <v>8209.9900000000016</v>
      </c>
      <c r="AH18" t="s">
        <v>81</v>
      </c>
      <c r="AI18" s="44">
        <v>40517.012999999992</v>
      </c>
      <c r="AJ18" s="44">
        <v>41059.979999999989</v>
      </c>
      <c r="AK18" s="44">
        <v>41010.472199252989</v>
      </c>
      <c r="AL18" s="44">
        <v>38487.285870080515</v>
      </c>
      <c r="AM18" s="44">
        <v>33079.841930666509</v>
      </c>
      <c r="AN18" s="44">
        <v>35251.280000000006</v>
      </c>
    </row>
    <row r="19" spans="1:40" x14ac:dyDescent="0.25">
      <c r="A19" s="156" t="s">
        <v>77</v>
      </c>
      <c r="B19" s="44">
        <v>20749.839000000004</v>
      </c>
      <c r="C19" s="44">
        <v>21491.663</v>
      </c>
      <c r="D19" s="44">
        <v>20303.369000000002</v>
      </c>
      <c r="E19" s="44">
        <v>20585.391000000003</v>
      </c>
      <c r="F19" s="44">
        <v>22645.733999999997</v>
      </c>
      <c r="G19" s="44">
        <v>21887.328000000005</v>
      </c>
      <c r="H19" s="44">
        <v>28087.147000000004</v>
      </c>
      <c r="I19" s="44">
        <v>22458.973000000002</v>
      </c>
      <c r="J19" s="44">
        <v>23319.406000000006</v>
      </c>
      <c r="K19" s="44">
        <v>21962.725999999991</v>
      </c>
      <c r="L19" s="44">
        <v>21416.135999999999</v>
      </c>
      <c r="M19" s="44">
        <v>22593.170000000006</v>
      </c>
      <c r="N19" s="44">
        <v>24342.2</v>
      </c>
      <c r="O19" s="44">
        <v>23378.02</v>
      </c>
      <c r="P19" s="44">
        <v>23407.670000000002</v>
      </c>
      <c r="Q19" s="44">
        <v>23102.730000000003</v>
      </c>
      <c r="R19" s="44">
        <v>22760.78</v>
      </c>
      <c r="S19" s="44">
        <v>25012.799999999999</v>
      </c>
      <c r="T19" s="44">
        <v>22406.839999999997</v>
      </c>
      <c r="U19" s="44">
        <v>18752.54</v>
      </c>
      <c r="V19" s="44">
        <v>18025.369999999995</v>
      </c>
      <c r="W19" s="44">
        <v>21042.660000000003</v>
      </c>
      <c r="X19" s="44">
        <v>23534.870000000003</v>
      </c>
      <c r="Y19" s="44">
        <v>23829.560000000005</v>
      </c>
      <c r="Z19" s="44">
        <v>19730.650000000001</v>
      </c>
      <c r="AA19" s="44">
        <v>19292.130000000008</v>
      </c>
      <c r="AB19" s="44">
        <v>20750.259999999998</v>
      </c>
      <c r="AC19" s="44">
        <v>20926.559999999998</v>
      </c>
      <c r="AD19" s="44">
        <v>21265.15</v>
      </c>
      <c r="AE19" s="44">
        <v>21660.920000000002</v>
      </c>
      <c r="AF19" s="44">
        <v>25041.219999999998</v>
      </c>
      <c r="AG19" s="44">
        <v>20539.990000000002</v>
      </c>
      <c r="AH19" t="s">
        <v>81</v>
      </c>
      <c r="AI19" s="44">
        <v>101367.18917582442</v>
      </c>
      <c r="AJ19" s="44">
        <v>102261.96482417552</v>
      </c>
      <c r="AK19" s="44">
        <v>100187.332199253</v>
      </c>
      <c r="AL19" s="44">
        <v>91303.855870080501</v>
      </c>
      <c r="AM19" s="44">
        <v>93177.711930666526</v>
      </c>
      <c r="AN19" s="44">
        <v>88893.850000000035</v>
      </c>
    </row>
    <row r="20" spans="1:40" x14ac:dyDescent="0.25">
      <c r="A20" s="156" t="s">
        <v>13</v>
      </c>
      <c r="B20" s="170">
        <v>5.776542749085934E-2</v>
      </c>
      <c r="C20" s="170">
        <v>5.7071089980998628E-2</v>
      </c>
      <c r="D20" s="170">
        <v>8.2201933956559683E-2</v>
      </c>
      <c r="E20" s="170">
        <v>6.4379540750635927E-2</v>
      </c>
      <c r="F20" s="170">
        <v>7.3257485650389739E-2</v>
      </c>
      <c r="G20" s="170">
        <v>5.5953843886305379E-2</v>
      </c>
      <c r="H20" s="170">
        <v>6.4999999999999988E-2</v>
      </c>
      <c r="I20" s="170">
        <v>6.4999999999999988E-2</v>
      </c>
      <c r="J20" s="170">
        <v>6.5000000000000002E-2</v>
      </c>
      <c r="K20" s="170">
        <v>6.5000000000000002E-2</v>
      </c>
      <c r="L20" s="170">
        <v>6.5000000000000002E-2</v>
      </c>
      <c r="M20" s="170">
        <v>6.5000000000000016E-2</v>
      </c>
      <c r="N20" s="170">
        <v>6.4999999999999988E-2</v>
      </c>
      <c r="O20" s="170">
        <v>6.4999999999999988E-2</v>
      </c>
      <c r="P20" s="170">
        <v>6.5000000000000002E-2</v>
      </c>
      <c r="Q20" s="170">
        <v>6.5000000000000002E-2</v>
      </c>
      <c r="R20" s="170">
        <v>6.5000000000000002E-2</v>
      </c>
      <c r="S20" s="170">
        <v>6.5000000000000002E-2</v>
      </c>
      <c r="T20" s="170">
        <v>6.4999999999999988E-2</v>
      </c>
      <c r="U20" s="170">
        <v>6.5000000000000002E-2</v>
      </c>
      <c r="V20" s="170">
        <v>6.5000000000000002E-2</v>
      </c>
      <c r="W20" s="170">
        <v>6.5000000000000002E-2</v>
      </c>
      <c r="X20" s="170">
        <v>6.4999999999999988E-2</v>
      </c>
      <c r="Y20" s="170">
        <v>6.4999999999999988E-2</v>
      </c>
      <c r="Z20" s="170">
        <v>6.5000000000000002E-2</v>
      </c>
      <c r="AA20" s="170">
        <v>6.5000000000000002E-2</v>
      </c>
      <c r="AB20" s="170">
        <v>6.5000000000000016E-2</v>
      </c>
      <c r="AC20" s="170">
        <v>6.5000000000000016E-2</v>
      </c>
      <c r="AD20" s="170">
        <v>6.5000000000000002E-2</v>
      </c>
      <c r="AE20" s="170">
        <v>6.5000000000000016E-2</v>
      </c>
      <c r="AF20" s="170">
        <v>6.5000000000000002E-2</v>
      </c>
      <c r="AG20" s="170">
        <v>6.5000000000000016E-2</v>
      </c>
      <c r="AH20" t="s">
        <v>81</v>
      </c>
      <c r="AI20" s="170">
        <v>6.2769543598233293E-2</v>
      </c>
      <c r="AJ20" s="170">
        <v>6.5000000000000002E-2</v>
      </c>
      <c r="AK20" s="170">
        <v>6.4999999999999988E-2</v>
      </c>
      <c r="AL20" s="170">
        <v>6.5000000000000016E-2</v>
      </c>
      <c r="AM20" s="170">
        <v>6.4999999999999961E-2</v>
      </c>
      <c r="AN20" s="170">
        <v>6.4999999999999974E-2</v>
      </c>
    </row>
    <row r="21" spans="1:40" x14ac:dyDescent="0.25">
      <c r="A21" s="156" t="s">
        <v>14</v>
      </c>
      <c r="B21" s="44">
        <v>804.94500000000005</v>
      </c>
      <c r="C21" s="44">
        <v>790.31799999999998</v>
      </c>
      <c r="D21" s="44">
        <v>992.39599999999996</v>
      </c>
      <c r="E21" s="44">
        <v>843.48599999999999</v>
      </c>
      <c r="F21" s="44">
        <v>1085.9759999999999</v>
      </c>
      <c r="G21" s="44">
        <v>790.77100000000007</v>
      </c>
      <c r="H21" s="44">
        <v>1098.91275</v>
      </c>
      <c r="I21" s="44">
        <v>915.66539999999986</v>
      </c>
      <c r="J21" s="44">
        <v>858.11700000000019</v>
      </c>
      <c r="K21" s="44">
        <v>864.03784999999982</v>
      </c>
      <c r="L21" s="44">
        <v>855.14519999999993</v>
      </c>
      <c r="M21" s="44">
        <v>850.18310000000008</v>
      </c>
      <c r="N21" s="44">
        <v>923.54339999999991</v>
      </c>
      <c r="O21" s="44">
        <v>899.24379999999996</v>
      </c>
      <c r="P21" s="44">
        <v>884.82355000000007</v>
      </c>
      <c r="Q21" s="44">
        <v>866.84715000000006</v>
      </c>
      <c r="R21" s="44">
        <v>870.96424999999999</v>
      </c>
      <c r="S21" s="44">
        <v>1008.384</v>
      </c>
      <c r="T21" s="44">
        <v>870.64509999999996</v>
      </c>
      <c r="U21" s="44">
        <v>712.56964999999991</v>
      </c>
      <c r="V21" s="44">
        <v>658.93229999999994</v>
      </c>
      <c r="W21" s="44">
        <v>765.24175000000014</v>
      </c>
      <c r="X21" s="44">
        <v>930.56795</v>
      </c>
      <c r="Y21" s="44">
        <v>956.5172500000001</v>
      </c>
      <c r="Z21" s="44">
        <v>915.99234999999999</v>
      </c>
      <c r="AA21" s="44">
        <v>811.9657000000002</v>
      </c>
      <c r="AB21" s="44">
        <v>821.54280000000017</v>
      </c>
      <c r="AC21" s="44">
        <v>810.03650000000016</v>
      </c>
      <c r="AD21" s="44">
        <v>820.62369999999999</v>
      </c>
      <c r="AE21" s="44">
        <v>839.17600000000004</v>
      </c>
      <c r="AF21" s="44">
        <v>1016.93085</v>
      </c>
      <c r="AG21" s="44">
        <v>801.45000000000016</v>
      </c>
      <c r="AH21" t="s">
        <v>81</v>
      </c>
      <c r="AI21" s="44">
        <v>3819.5377864285883</v>
      </c>
      <c r="AJ21" s="44">
        <v>3978.1290135714112</v>
      </c>
      <c r="AK21" s="44">
        <v>3846.4958999999999</v>
      </c>
      <c r="AL21" s="44">
        <v>3433.0770500000008</v>
      </c>
      <c r="AM21" s="44">
        <v>3906.3615499999992</v>
      </c>
      <c r="AN21" s="44">
        <v>3486.7670499999995</v>
      </c>
    </row>
    <row r="22" spans="1:40" x14ac:dyDescent="0.25">
      <c r="A22" s="156" t="s">
        <v>15</v>
      </c>
      <c r="B22" s="98">
        <v>6.7793451726515475</v>
      </c>
      <c r="C22" s="98">
        <v>6.5479971353303359</v>
      </c>
      <c r="D22" s="98">
        <v>6.5225978339291979</v>
      </c>
      <c r="E22" s="98">
        <v>6.0012851428476583</v>
      </c>
      <c r="F22" s="98">
        <v>6.0903740045820536</v>
      </c>
      <c r="G22" s="98">
        <v>6.441814381154594</v>
      </c>
      <c r="H22" s="98">
        <v>6.4</v>
      </c>
      <c r="I22" s="98">
        <v>6.4000000000000012</v>
      </c>
      <c r="J22" s="98">
        <v>6.4000000000000012</v>
      </c>
      <c r="K22" s="98">
        <v>6.4000000000000012</v>
      </c>
      <c r="L22" s="98">
        <v>6.4000000000000012</v>
      </c>
      <c r="M22" s="98">
        <v>6.3999999999999995</v>
      </c>
      <c r="N22" s="98">
        <v>6.4</v>
      </c>
      <c r="O22" s="98">
        <v>6.4000000000000012</v>
      </c>
      <c r="P22" s="98">
        <v>6.4</v>
      </c>
      <c r="Q22" s="98">
        <v>6.4</v>
      </c>
      <c r="R22" s="98">
        <v>6.4000000000000012</v>
      </c>
      <c r="S22" s="98">
        <v>6.3999999999999986</v>
      </c>
      <c r="T22" s="98">
        <v>6.4000000000000012</v>
      </c>
      <c r="U22" s="98">
        <v>6.4</v>
      </c>
      <c r="V22" s="98">
        <v>6.4000000000000012</v>
      </c>
      <c r="W22" s="98">
        <v>6.4</v>
      </c>
      <c r="X22" s="98">
        <v>6.3999999999999995</v>
      </c>
      <c r="Y22" s="98">
        <v>6.3999999999999995</v>
      </c>
      <c r="Z22" s="98">
        <v>6.4000000000000012</v>
      </c>
      <c r="AA22" s="98">
        <v>6.4</v>
      </c>
      <c r="AB22" s="98">
        <v>6.3999999999999995</v>
      </c>
      <c r="AC22" s="98">
        <v>6.4</v>
      </c>
      <c r="AD22" s="98">
        <v>6.4000000000000012</v>
      </c>
      <c r="AE22" s="98">
        <v>6.4</v>
      </c>
      <c r="AF22" s="98">
        <v>6.4</v>
      </c>
      <c r="AG22" s="98">
        <v>6.3999999999999986</v>
      </c>
      <c r="AH22" t="s">
        <v>81</v>
      </c>
      <c r="AI22" s="98">
        <v>6.4251188508570092</v>
      </c>
      <c r="AJ22" s="98">
        <v>6.4000000000000012</v>
      </c>
      <c r="AK22" s="98">
        <v>6.4</v>
      </c>
      <c r="AL22" s="98">
        <v>6.3999999999999995</v>
      </c>
      <c r="AM22" s="98">
        <v>6.4000000000000012</v>
      </c>
      <c r="AN22" s="98">
        <v>6.4000000000000021</v>
      </c>
    </row>
    <row r="23" spans="1:40" x14ac:dyDescent="0.25">
      <c r="A23" s="156" t="s">
        <v>16</v>
      </c>
      <c r="B23" s="98">
        <v>1.2349012196410334</v>
      </c>
      <c r="C23" s="98">
        <v>1.2801381947448007</v>
      </c>
      <c r="D23" s="98">
        <v>1.2980655736948055</v>
      </c>
      <c r="E23" s="98">
        <v>1.3016427878486614</v>
      </c>
      <c r="F23" s="98">
        <v>1.2190541162861281</v>
      </c>
      <c r="G23" s="98">
        <v>1.2002936515581573</v>
      </c>
      <c r="H23" s="98">
        <v>1.26</v>
      </c>
      <c r="I23" s="98">
        <v>1.26</v>
      </c>
      <c r="J23" s="98">
        <v>1.26</v>
      </c>
      <c r="K23" s="98">
        <v>1.2600000000000002</v>
      </c>
      <c r="L23" s="98">
        <v>1.2599999999999998</v>
      </c>
      <c r="M23" s="98">
        <v>1.26</v>
      </c>
      <c r="N23" s="98">
        <v>1.2600000000000002</v>
      </c>
      <c r="O23" s="98">
        <v>1.2599999999999998</v>
      </c>
      <c r="P23" s="98">
        <v>1.2599999999999998</v>
      </c>
      <c r="Q23" s="98">
        <v>1.26</v>
      </c>
      <c r="R23" s="98">
        <v>1.26</v>
      </c>
      <c r="S23" s="98">
        <v>1.26</v>
      </c>
      <c r="T23" s="98">
        <v>1.26</v>
      </c>
      <c r="U23" s="98">
        <v>1.2600000000000002</v>
      </c>
      <c r="V23" s="98">
        <v>1.2600000000000002</v>
      </c>
      <c r="W23" s="98">
        <v>1.26</v>
      </c>
      <c r="X23" s="98">
        <v>1.26</v>
      </c>
      <c r="Y23" s="98">
        <v>1.2599999999999998</v>
      </c>
      <c r="Z23" s="98">
        <v>1.2600000000000002</v>
      </c>
      <c r="AA23" s="98">
        <v>1.2600000000000002</v>
      </c>
      <c r="AB23" s="98">
        <v>1.26</v>
      </c>
      <c r="AC23" s="98">
        <v>1.26</v>
      </c>
      <c r="AD23" s="98">
        <v>1.2599999999999998</v>
      </c>
      <c r="AE23" s="98">
        <v>1.26</v>
      </c>
      <c r="AF23" s="98">
        <v>1.2600000000000002</v>
      </c>
      <c r="AG23" s="98">
        <v>1.26</v>
      </c>
      <c r="AH23" t="s">
        <v>81</v>
      </c>
      <c r="AI23" s="98">
        <v>1.2488389477279582</v>
      </c>
      <c r="AJ23" s="98">
        <v>1.2600000000000005</v>
      </c>
      <c r="AK23" s="98">
        <v>1.26</v>
      </c>
      <c r="AL23" s="98">
        <v>1.26</v>
      </c>
      <c r="AM23" s="98">
        <v>1.2599999999999996</v>
      </c>
      <c r="AN23" s="98">
        <v>1.26</v>
      </c>
    </row>
    <row r="24" spans="1:40" x14ac:dyDescent="0.25">
      <c r="A24" s="156" t="s">
        <v>17</v>
      </c>
      <c r="B24" s="98">
        <v>1.4547089690957355</v>
      </c>
      <c r="C24" s="98">
        <v>1.4901621954780642</v>
      </c>
      <c r="D24" s="98">
        <v>1.4904879522726175</v>
      </c>
      <c r="E24" s="98">
        <v>1.4848732918185534</v>
      </c>
      <c r="F24" s="98">
        <v>1.5097407796699986</v>
      </c>
      <c r="G24" s="98">
        <v>1.5594611456875194</v>
      </c>
      <c r="H24" s="98">
        <v>1.5</v>
      </c>
      <c r="I24" s="98">
        <v>1.4999999999999998</v>
      </c>
      <c r="J24" s="98">
        <v>1.5</v>
      </c>
      <c r="K24" s="98">
        <v>1.5</v>
      </c>
      <c r="L24" s="98">
        <v>1.5000000000000004</v>
      </c>
      <c r="M24" s="98">
        <v>1.5000000000000004</v>
      </c>
      <c r="N24" s="98">
        <v>1.4999999999999998</v>
      </c>
      <c r="O24" s="98">
        <v>1.4999999999999996</v>
      </c>
      <c r="P24" s="98">
        <v>1.4999999999999998</v>
      </c>
      <c r="Q24" s="98">
        <v>1.5</v>
      </c>
      <c r="R24" s="98">
        <v>1.5</v>
      </c>
      <c r="S24" s="98">
        <v>1.4999999999999998</v>
      </c>
      <c r="T24" s="98">
        <v>1.5</v>
      </c>
      <c r="U24" s="98">
        <v>1.5000000000000002</v>
      </c>
      <c r="V24" s="98">
        <v>1.4999999999999998</v>
      </c>
      <c r="W24" s="98">
        <v>1.5</v>
      </c>
      <c r="X24" s="98">
        <v>1.4999999999999996</v>
      </c>
      <c r="Y24" s="98">
        <v>1.4999999999999996</v>
      </c>
      <c r="Z24" s="98">
        <v>1.4999999999999996</v>
      </c>
      <c r="AA24" s="98">
        <v>1.5000000000000002</v>
      </c>
      <c r="AB24" s="98">
        <v>1.5</v>
      </c>
      <c r="AC24" s="98">
        <v>1.5</v>
      </c>
      <c r="AD24" s="98">
        <v>1.4999999999999998</v>
      </c>
      <c r="AE24" s="98">
        <v>1.5</v>
      </c>
      <c r="AF24" s="98">
        <v>1.5000000000000002</v>
      </c>
      <c r="AG24" s="98">
        <v>1.4999999999999996</v>
      </c>
      <c r="AH24" t="s">
        <v>81</v>
      </c>
      <c r="AI24" s="98">
        <v>1.5116179130851743</v>
      </c>
      <c r="AJ24" s="98">
        <v>1.5000000000000009</v>
      </c>
      <c r="AK24" s="98">
        <v>1.5000000000000002</v>
      </c>
      <c r="AL24" s="98">
        <v>1.5000000000000007</v>
      </c>
      <c r="AM24" s="98">
        <v>1.4999999999999998</v>
      </c>
      <c r="AN24" s="98">
        <v>1.5</v>
      </c>
    </row>
    <row r="25" spans="1:40" x14ac:dyDescent="0.25">
      <c r="A25" s="156" t="s">
        <v>42</v>
      </c>
      <c r="B25" s="44">
        <v>5457</v>
      </c>
      <c r="C25" s="44">
        <v>5175</v>
      </c>
      <c r="D25" s="44">
        <v>6473</v>
      </c>
      <c r="E25" s="44">
        <v>5062</v>
      </c>
      <c r="F25" s="44">
        <v>6614</v>
      </c>
      <c r="G25" s="44">
        <v>5094</v>
      </c>
      <c r="H25" s="44">
        <v>7033.0416000000005</v>
      </c>
      <c r="I25" s="44">
        <v>5860.2585600000002</v>
      </c>
      <c r="J25" s="44">
        <v>5491.9488000000019</v>
      </c>
      <c r="K25" s="44">
        <v>5529.8422399999999</v>
      </c>
      <c r="L25" s="44">
        <v>5472.9292800000003</v>
      </c>
      <c r="M25" s="44">
        <v>5441.17184</v>
      </c>
      <c r="N25" s="44">
        <v>5910.6777599999996</v>
      </c>
      <c r="O25" s="44">
        <v>5755.1603200000009</v>
      </c>
      <c r="P25" s="44">
        <v>5662.8707200000008</v>
      </c>
      <c r="Q25" s="44">
        <v>5547.8217600000007</v>
      </c>
      <c r="R25" s="44">
        <v>5574.1712000000007</v>
      </c>
      <c r="S25" s="44">
        <v>6453.6575999999986</v>
      </c>
      <c r="T25" s="44">
        <v>5572.1286400000008</v>
      </c>
      <c r="U25" s="44">
        <v>4560.4457599999996</v>
      </c>
      <c r="V25" s="44">
        <v>4217.1667200000002</v>
      </c>
      <c r="W25" s="44">
        <v>4897.5472000000009</v>
      </c>
      <c r="X25" s="44">
        <v>5955.6348799999996</v>
      </c>
      <c r="Y25" s="44">
        <v>6121.7103999999999</v>
      </c>
      <c r="Z25" s="44">
        <v>5862.3510400000014</v>
      </c>
      <c r="AA25" s="44">
        <v>5196.5804800000014</v>
      </c>
      <c r="AB25" s="44">
        <v>5257.8739200000009</v>
      </c>
      <c r="AC25" s="44">
        <v>5184.2336000000014</v>
      </c>
      <c r="AD25" s="44">
        <v>5251.991680000001</v>
      </c>
      <c r="AE25" s="44">
        <v>5370.7264000000005</v>
      </c>
      <c r="AF25" s="44">
        <v>6508.3574399999998</v>
      </c>
      <c r="AG25" s="44">
        <v>5129.28</v>
      </c>
      <c r="AH25" t="s">
        <v>81</v>
      </c>
      <c r="AI25" s="44">
        <v>24540.984233142975</v>
      </c>
      <c r="AJ25" s="44">
        <v>25460.025686857036</v>
      </c>
      <c r="AK25" s="44">
        <v>24617.573759999999</v>
      </c>
      <c r="AL25" s="44">
        <v>21971.693120000004</v>
      </c>
      <c r="AM25" s="44">
        <v>25000.713919999998</v>
      </c>
      <c r="AN25" s="44">
        <v>22315.309120000005</v>
      </c>
    </row>
    <row r="26" spans="1:40" x14ac:dyDescent="0.25">
      <c r="A26" s="156" t="s">
        <v>67</v>
      </c>
      <c r="B26" s="44">
        <v>8416</v>
      </c>
      <c r="C26" s="44">
        <v>9785</v>
      </c>
      <c r="D26" s="44">
        <v>10684</v>
      </c>
      <c r="E26" s="44">
        <v>9741</v>
      </c>
      <c r="F26" s="44">
        <v>9535</v>
      </c>
      <c r="G26" s="44">
        <v>9308</v>
      </c>
      <c r="H26" s="44">
        <v>14087.804219999998</v>
      </c>
      <c r="I26" s="44">
        <v>10548.48438</v>
      </c>
      <c r="J26" s="44">
        <v>12748.183560000001</v>
      </c>
      <c r="K26" s="44">
        <v>10923.99336</v>
      </c>
      <c r="L26" s="44">
        <v>10407.670559999999</v>
      </c>
      <c r="M26" s="44">
        <v>11986.9218</v>
      </c>
      <c r="N26" s="44">
        <v>12768.6384</v>
      </c>
      <c r="O26" s="44">
        <v>12024.81</v>
      </c>
      <c r="P26" s="44">
        <v>12341.699999999999</v>
      </c>
      <c r="Q26" s="44">
        <v>12305.941199999999</v>
      </c>
      <c r="R26" s="44">
        <v>11795.275799999999</v>
      </c>
      <c r="S26" s="44">
        <v>11968.992000000002</v>
      </c>
      <c r="T26" s="44">
        <v>11355.497999999998</v>
      </c>
      <c r="U26" s="44">
        <v>9815.3118000000013</v>
      </c>
      <c r="V26" s="44">
        <v>9938.8170000000009</v>
      </c>
      <c r="W26" s="44">
        <v>11679.834600000002</v>
      </c>
      <c r="X26" s="44">
        <v>11615.234399999999</v>
      </c>
      <c r="Y26" s="44">
        <v>11483.526599999997</v>
      </c>
      <c r="Z26" s="44">
        <v>7104.4596000000001</v>
      </c>
      <c r="AA26" s="44">
        <v>8568.4410000000007</v>
      </c>
      <c r="AB26" s="44">
        <v>10220.036399999999</v>
      </c>
      <c r="AC26" s="44">
        <v>10665.219600000002</v>
      </c>
      <c r="AD26" s="44">
        <v>10886.614199999998</v>
      </c>
      <c r="AE26" s="44">
        <v>11025.655199999999</v>
      </c>
      <c r="AF26" s="44">
        <v>11839.123800000001</v>
      </c>
      <c r="AG26" s="44">
        <v>10344.587400000002</v>
      </c>
      <c r="AH26" t="s">
        <v>81</v>
      </c>
      <c r="AI26" s="44">
        <v>50599.223879999998</v>
      </c>
      <c r="AJ26" s="44">
        <v>51735.574800000002</v>
      </c>
      <c r="AK26" s="44">
        <v>51673.194971058765</v>
      </c>
      <c r="AL26" s="44">
        <v>48493.980196301447</v>
      </c>
      <c r="AM26" s="44">
        <v>41680.600832639786</v>
      </c>
      <c r="AN26" s="44">
        <v>44416.61280000001</v>
      </c>
    </row>
    <row r="27" spans="1:40" x14ac:dyDescent="0.25">
      <c r="A27" s="156" t="s">
        <v>18</v>
      </c>
      <c r="B27" s="44">
        <v>19100</v>
      </c>
      <c r="C27" s="44">
        <v>19458</v>
      </c>
      <c r="D27" s="44">
        <v>16515</v>
      </c>
      <c r="E27" s="44">
        <v>18202</v>
      </c>
      <c r="F27" s="44">
        <v>20741</v>
      </c>
      <c r="G27" s="44">
        <v>20806</v>
      </c>
      <c r="H27" s="44">
        <v>23711.155875000004</v>
      </c>
      <c r="I27" s="44">
        <v>19757.241900000001</v>
      </c>
      <c r="J27" s="44">
        <v>18515.524500000003</v>
      </c>
      <c r="K27" s="44">
        <v>18643.278224999995</v>
      </c>
      <c r="L27" s="44">
        <v>18451.4022</v>
      </c>
      <c r="M27" s="44">
        <v>18344.335350000001</v>
      </c>
      <c r="N27" s="44">
        <v>19927.224899999997</v>
      </c>
      <c r="O27" s="44">
        <v>19402.914299999997</v>
      </c>
      <c r="P27" s="44">
        <v>19091.769675</v>
      </c>
      <c r="Q27" s="44">
        <v>18703.894275000002</v>
      </c>
      <c r="R27" s="44">
        <v>18792.728625</v>
      </c>
      <c r="S27" s="44">
        <v>21757.823999999997</v>
      </c>
      <c r="T27" s="44">
        <v>18785.842350000003</v>
      </c>
      <c r="U27" s="44">
        <v>15375.060525000001</v>
      </c>
      <c r="V27" s="44">
        <v>14217.731549999997</v>
      </c>
      <c r="W27" s="44">
        <v>16511.562375000001</v>
      </c>
      <c r="X27" s="44">
        <v>20078.793074999998</v>
      </c>
      <c r="Y27" s="44">
        <v>20638.699124999999</v>
      </c>
      <c r="Z27" s="44">
        <v>19764.296474999996</v>
      </c>
      <c r="AA27" s="44">
        <v>17519.721450000005</v>
      </c>
      <c r="AB27" s="44">
        <v>17726.365800000003</v>
      </c>
      <c r="AC27" s="44">
        <v>17478.095250000002</v>
      </c>
      <c r="AD27" s="44">
        <v>17706.534449999999</v>
      </c>
      <c r="AE27" s="44">
        <v>18106.835999999999</v>
      </c>
      <c r="AF27" s="44">
        <v>21942.238724999999</v>
      </c>
      <c r="AG27" s="44">
        <v>17292.824999999997</v>
      </c>
      <c r="AH27" t="s">
        <v>81</v>
      </c>
      <c r="AI27" s="44">
        <v>86208.534584093766</v>
      </c>
      <c r="AJ27" s="44">
        <v>85835.783715906247</v>
      </c>
      <c r="AK27" s="44">
        <v>82995.546149999995</v>
      </c>
      <c r="AL27" s="44">
        <v>74075.239425000007</v>
      </c>
      <c r="AM27" s="44">
        <v>84287.262675000005</v>
      </c>
      <c r="AN27" s="44">
        <v>75233.704425000004</v>
      </c>
    </row>
    <row r="28" spans="1:40" x14ac:dyDescent="0.25">
      <c r="A28" s="156" t="s">
        <v>19</v>
      </c>
      <c r="B28" s="44">
        <v>32973</v>
      </c>
      <c r="C28" s="44">
        <v>34418</v>
      </c>
      <c r="D28" s="44">
        <v>33672</v>
      </c>
      <c r="E28" s="44">
        <v>33005</v>
      </c>
      <c r="F28" s="44">
        <v>36890</v>
      </c>
      <c r="G28" s="44">
        <v>35208</v>
      </c>
      <c r="H28" s="44">
        <v>44832.001694999999</v>
      </c>
      <c r="I28" s="44">
        <v>36165.984839999997</v>
      </c>
      <c r="J28" s="44">
        <v>36755.656860000003</v>
      </c>
      <c r="K28" s="44">
        <v>35097.113824999993</v>
      </c>
      <c r="L28" s="44">
        <v>34332.002039999999</v>
      </c>
      <c r="M28" s="44">
        <v>35772.42899</v>
      </c>
      <c r="N28" s="44">
        <v>38606.541059999996</v>
      </c>
      <c r="O28" s="44">
        <v>37182.884620000004</v>
      </c>
      <c r="P28" s="44">
        <v>37096.340394999992</v>
      </c>
      <c r="Q28" s="44">
        <v>36557.657235000006</v>
      </c>
      <c r="R28" s="44">
        <v>36162.175625000003</v>
      </c>
      <c r="S28" s="44">
        <v>40180.47359999999</v>
      </c>
      <c r="T28" s="44">
        <v>35713.468990000008</v>
      </c>
      <c r="U28" s="44">
        <v>29750.818084999999</v>
      </c>
      <c r="V28" s="44">
        <v>28373.715269999997</v>
      </c>
      <c r="W28" s="44">
        <v>33088.944175000004</v>
      </c>
      <c r="X28" s="44">
        <v>37649.662355</v>
      </c>
      <c r="Y28" s="44">
        <v>38243.936125</v>
      </c>
      <c r="Z28" s="44">
        <v>32731.107115000003</v>
      </c>
      <c r="AA28" s="44">
        <v>31284.742930000004</v>
      </c>
      <c r="AB28" s="44">
        <v>33204.276120000002</v>
      </c>
      <c r="AC28" s="44">
        <v>33327.548450000002</v>
      </c>
      <c r="AD28" s="44">
        <v>33845.140330000002</v>
      </c>
      <c r="AE28" s="44">
        <v>34503.217600000004</v>
      </c>
      <c r="AF28" s="44">
        <v>40289.719965000004</v>
      </c>
      <c r="AG28" s="44">
        <v>32766.692399999996</v>
      </c>
      <c r="AH28" t="s">
        <v>81</v>
      </c>
      <c r="AI28" s="44">
        <v>161348.74269723674</v>
      </c>
      <c r="AJ28" s="44">
        <v>163031.38420276326</v>
      </c>
      <c r="AK28" s="44">
        <v>159286.31488105873</v>
      </c>
      <c r="AL28" s="44">
        <v>144540.91274130144</v>
      </c>
      <c r="AM28" s="44">
        <v>150968.57742763974</v>
      </c>
      <c r="AN28" s="44">
        <v>141965.626345</v>
      </c>
    </row>
    <row r="29" spans="1:40" x14ac:dyDescent="0.25">
      <c r="A29" s="156" t="s">
        <v>20</v>
      </c>
      <c r="B29" s="44">
        <v>39879.250000000007</v>
      </c>
      <c r="C29" s="44">
        <v>41276.864000000001</v>
      </c>
      <c r="D29" s="44">
        <v>38992.243000000002</v>
      </c>
      <c r="E29" s="44">
        <v>38396.423999999992</v>
      </c>
      <c r="F29" s="44">
        <v>41724.777000000016</v>
      </c>
      <c r="G29" s="44">
        <v>39591.122999999992</v>
      </c>
      <c r="H29" s="44">
        <v>53945.615283449988</v>
      </c>
      <c r="I29" s="44">
        <v>46179.843724238781</v>
      </c>
      <c r="J29" s="44">
        <v>47790.126115378633</v>
      </c>
      <c r="K29" s="44">
        <v>45611.026439622445</v>
      </c>
      <c r="L29" s="44">
        <v>45072.148954059659</v>
      </c>
      <c r="M29" s="44">
        <v>47405.684965866676</v>
      </c>
      <c r="N29" s="44">
        <v>47666.005081678057</v>
      </c>
      <c r="O29" s="44">
        <v>46167.61007475682</v>
      </c>
      <c r="P29" s="44">
        <v>44473.103384224662</v>
      </c>
      <c r="Q29" s="44">
        <v>46217.342601662305</v>
      </c>
      <c r="R29" s="44">
        <v>41679.817157270569</v>
      </c>
      <c r="S29" s="44">
        <v>43517.608472371241</v>
      </c>
      <c r="T29" s="44">
        <v>41879.090423392685</v>
      </c>
      <c r="U29" s="44">
        <v>38958.096405312535</v>
      </c>
      <c r="V29" s="44">
        <v>37934.461149145485</v>
      </c>
      <c r="W29" s="44">
        <v>42726.133077752267</v>
      </c>
      <c r="X29" s="44">
        <v>45575.906300086106</v>
      </c>
      <c r="Y29" s="44">
        <v>46218.617704868338</v>
      </c>
      <c r="Z29" s="44">
        <v>36660.234434748018</v>
      </c>
      <c r="AA29" s="44">
        <v>36682.037039204821</v>
      </c>
      <c r="AB29" s="44">
        <v>40592.63725546722</v>
      </c>
      <c r="AC29" s="44">
        <v>43396.430121438709</v>
      </c>
      <c r="AD29" s="44">
        <v>43425.06650577228</v>
      </c>
      <c r="AE29" s="44">
        <v>43024.993091539014</v>
      </c>
      <c r="AF29" s="44">
        <v>47851.763512573394</v>
      </c>
      <c r="AG29" s="44">
        <v>41054.577055613467</v>
      </c>
      <c r="AH29" t="s">
        <v>81</v>
      </c>
      <c r="AI29" s="44">
        <v>200842.19920158733</v>
      </c>
      <c r="AJ29" s="44">
        <v>207119.8658553556</v>
      </c>
      <c r="AK29" s="44">
        <v>187766.12322805601</v>
      </c>
      <c r="AL29" s="44">
        <v>182934.54204961419</v>
      </c>
      <c r="AM29" s="44">
        <v>178640.01870994395</v>
      </c>
      <c r="AN29" s="44">
        <v>177698.25323132353</v>
      </c>
    </row>
    <row r="30" spans="1:40" x14ac:dyDescent="0.25">
      <c r="A30" s="156" t="s">
        <v>21</v>
      </c>
      <c r="B30" s="44">
        <v>44895.250000000007</v>
      </c>
      <c r="C30" s="44">
        <v>38654.864000000001</v>
      </c>
      <c r="D30" s="44">
        <v>39220.243000000002</v>
      </c>
      <c r="E30" s="44">
        <v>45977.423999999999</v>
      </c>
      <c r="F30" s="44">
        <v>45315.777000000016</v>
      </c>
      <c r="G30" s="44">
        <v>40617.122999999992</v>
      </c>
      <c r="H30" s="44">
        <v>49964.575499999984</v>
      </c>
      <c r="I30" s="44">
        <v>43422.197881412052</v>
      </c>
      <c r="J30" s="44">
        <v>43253.434723261715</v>
      </c>
      <c r="K30" s="44">
        <v>42191.392982508929</v>
      </c>
      <c r="L30" s="44">
        <v>42398.278804289948</v>
      </c>
      <c r="M30" s="44">
        <v>44558.773212222572</v>
      </c>
      <c r="N30" s="44">
        <v>45195.797460599053</v>
      </c>
      <c r="O30" s="44">
        <v>46167.610074756813</v>
      </c>
      <c r="P30" s="44">
        <v>44473.103384224662</v>
      </c>
      <c r="Q30" s="44">
        <v>46217.342601662313</v>
      </c>
      <c r="R30" s="44">
        <v>41679.817157270569</v>
      </c>
      <c r="S30" s="44">
        <v>43517.608472371241</v>
      </c>
      <c r="T30" s="44">
        <v>41879.090423392685</v>
      </c>
      <c r="U30" s="44">
        <v>38958.096405312535</v>
      </c>
      <c r="V30" s="44">
        <v>37934.461149145485</v>
      </c>
      <c r="W30" s="44">
        <v>42726.133077752267</v>
      </c>
      <c r="X30" s="44">
        <v>45575.906300086106</v>
      </c>
      <c r="Y30" s="44">
        <v>46218.617704868338</v>
      </c>
      <c r="Z30" s="44">
        <v>36660.234434748025</v>
      </c>
      <c r="AA30" s="44">
        <v>36682.037039204821</v>
      </c>
      <c r="AB30" s="44">
        <v>40592.637255467213</v>
      </c>
      <c r="AC30" s="44">
        <v>43396.430121438709</v>
      </c>
      <c r="AD30" s="44">
        <v>43425.06650577228</v>
      </c>
      <c r="AE30" s="44">
        <v>43024.993091539014</v>
      </c>
      <c r="AF30" s="44">
        <v>47851.763512573394</v>
      </c>
      <c r="AG30" s="44">
        <v>41054.577055613467</v>
      </c>
      <c r="AH30" t="s">
        <v>81</v>
      </c>
      <c r="AI30" s="44">
        <v>186147.18872608017</v>
      </c>
      <c r="AJ30" s="44">
        <v>199128.87633086275</v>
      </c>
      <c r="AK30" s="44">
        <v>187766.12322805601</v>
      </c>
      <c r="AL30" s="44">
        <v>182934.54204961419</v>
      </c>
      <c r="AM30" s="44">
        <v>178640.01870994395</v>
      </c>
      <c r="AN30" s="44">
        <v>177698.25323132353</v>
      </c>
    </row>
    <row r="31" spans="1:40" x14ac:dyDescent="0.25">
      <c r="A31" s="156" t="s">
        <v>68</v>
      </c>
      <c r="B31" s="44">
        <v>62559.993999999984</v>
      </c>
      <c r="C31" s="44">
        <v>62559.993999999992</v>
      </c>
      <c r="D31" s="44">
        <v>62559.993999999984</v>
      </c>
      <c r="E31" s="44">
        <v>62559.993999999984</v>
      </c>
      <c r="F31" s="44">
        <v>62559.993999999984</v>
      </c>
      <c r="G31" s="44">
        <v>62559.993999999984</v>
      </c>
      <c r="H31" s="44">
        <v>62559.993999999984</v>
      </c>
      <c r="I31" s="44">
        <v>62559.993999999984</v>
      </c>
      <c r="J31" s="44">
        <v>62559.993999999984</v>
      </c>
      <c r="K31" s="44">
        <v>62559.993999999984</v>
      </c>
      <c r="L31" s="44">
        <v>62559.993999999984</v>
      </c>
      <c r="M31" s="44">
        <v>62559.993999999984</v>
      </c>
      <c r="N31" s="44">
        <v>62559.993999999984</v>
      </c>
      <c r="O31" s="44">
        <v>62559.993999999984</v>
      </c>
      <c r="P31" s="44">
        <v>62559.993999999984</v>
      </c>
      <c r="Q31" s="44">
        <v>62559.993999999984</v>
      </c>
      <c r="R31" s="44">
        <v>62559.993999999999</v>
      </c>
      <c r="S31" s="44">
        <v>62559.993999999984</v>
      </c>
      <c r="T31" s="44">
        <v>62559.993999999984</v>
      </c>
      <c r="U31" s="44">
        <v>62559.993999999984</v>
      </c>
      <c r="V31" s="44">
        <v>62559.993999999984</v>
      </c>
      <c r="W31" s="44">
        <v>62559.993999999984</v>
      </c>
      <c r="X31" s="44">
        <v>62559.993999999984</v>
      </c>
      <c r="Y31" s="44">
        <v>62559.993999999984</v>
      </c>
      <c r="Z31" s="44">
        <v>62559.993999999984</v>
      </c>
      <c r="AA31" s="44">
        <v>62559.993999999984</v>
      </c>
      <c r="AB31" s="44">
        <v>62559.993999999984</v>
      </c>
      <c r="AC31" s="44">
        <v>62559.993999999984</v>
      </c>
      <c r="AD31" s="44">
        <v>62559.993999999984</v>
      </c>
      <c r="AE31" s="44">
        <v>62559.993999999984</v>
      </c>
      <c r="AF31" s="44">
        <v>62559.993999999984</v>
      </c>
      <c r="AG31" s="44">
        <v>62559.993999999984</v>
      </c>
      <c r="AH31" t="s">
        <v>81</v>
      </c>
      <c r="AI31" s="44">
        <v>268114.25999999978</v>
      </c>
      <c r="AJ31" s="44">
        <v>277051.40199999977</v>
      </c>
      <c r="AK31" s="44">
        <v>268114.25999999983</v>
      </c>
      <c r="AL31" s="44">
        <v>277051.40199999977</v>
      </c>
      <c r="AM31" s="44">
        <v>277051.40199999977</v>
      </c>
      <c r="AN31" s="44">
        <v>250239.97599999982</v>
      </c>
    </row>
    <row r="32" spans="1:40" x14ac:dyDescent="0.25">
      <c r="A32" s="156" t="s">
        <v>69</v>
      </c>
      <c r="B32" s="95">
        <v>0.63745610333658276</v>
      </c>
      <c r="C32" s="95">
        <v>0.65979648271705393</v>
      </c>
      <c r="D32" s="95">
        <v>0.62327760133736587</v>
      </c>
      <c r="E32" s="95">
        <v>0.61375363942649996</v>
      </c>
      <c r="F32" s="95">
        <v>0.66695621805846084</v>
      </c>
      <c r="G32" s="95">
        <v>0.63285049228105761</v>
      </c>
      <c r="H32" s="95">
        <v>0.86230211728361106</v>
      </c>
      <c r="I32" s="95">
        <v>0.7381689282808882</v>
      </c>
      <c r="J32" s="95">
        <v>0.76390873879205667</v>
      </c>
      <c r="K32" s="95">
        <v>0.7290765795089823</v>
      </c>
      <c r="L32" s="95">
        <v>0.72046280813357599</v>
      </c>
      <c r="M32" s="95">
        <v>0.75776357916317383</v>
      </c>
      <c r="N32" s="95">
        <v>0.76192470673315682</v>
      </c>
      <c r="O32" s="95">
        <v>0.73797337759905812</v>
      </c>
      <c r="P32" s="95">
        <v>0.71088727061298396</v>
      </c>
      <c r="Q32" s="95">
        <v>0.73876833494680805</v>
      </c>
      <c r="R32" s="95">
        <v>0.66623755042672417</v>
      </c>
      <c r="S32" s="95">
        <v>0.69561401288451596</v>
      </c>
      <c r="T32" s="95">
        <v>0.66942286508839288</v>
      </c>
      <c r="U32" s="95">
        <v>0.6227317797586831</v>
      </c>
      <c r="V32" s="95">
        <v>0.60636932204861604</v>
      </c>
      <c r="W32" s="95">
        <v>0.6829625507597118</v>
      </c>
      <c r="X32" s="95">
        <v>0.72851519615053228</v>
      </c>
      <c r="Y32" s="95">
        <v>0.73878871703325855</v>
      </c>
      <c r="Z32" s="95">
        <v>0.58600124601591275</v>
      </c>
      <c r="AA32" s="95">
        <v>0.58634975315382565</v>
      </c>
      <c r="AB32" s="95">
        <v>0.64885935339871059</v>
      </c>
      <c r="AC32" s="95">
        <v>0.69367701859815889</v>
      </c>
      <c r="AD32" s="95">
        <v>0.69413476135838947</v>
      </c>
      <c r="AE32" s="95">
        <v>0.68773972535130046</v>
      </c>
      <c r="AF32" s="95">
        <v>0.76489399139925418</v>
      </c>
      <c r="AG32" s="95">
        <v>0.65624330231894634</v>
      </c>
      <c r="AH32" t="s">
        <v>81</v>
      </c>
      <c r="AI32" s="95">
        <v>0.74909182078412107</v>
      </c>
      <c r="AJ32" s="95">
        <v>0.7475864202822402</v>
      </c>
      <c r="AK32" s="95">
        <v>0.70032128551482564</v>
      </c>
      <c r="AL32" s="95">
        <v>0.66029098112852869</v>
      </c>
      <c r="AM32" s="95">
        <v>0.64479016319846727</v>
      </c>
      <c r="AN32" s="95">
        <v>0.71011137417677606</v>
      </c>
    </row>
    <row r="33" spans="1:40" x14ac:dyDescent="0.25">
      <c r="A33" s="156" t="s">
        <v>70</v>
      </c>
      <c r="B33" s="170">
        <v>0.7176351391593806</v>
      </c>
      <c r="C33" s="170">
        <v>0.6178847139915008</v>
      </c>
      <c r="D33" s="170">
        <v>0.62692210296567508</v>
      </c>
      <c r="E33" s="170">
        <v>0.73493331856777366</v>
      </c>
      <c r="F33" s="170">
        <v>0.72435711870432773</v>
      </c>
      <c r="G33" s="170">
        <v>0.64925074960844786</v>
      </c>
      <c r="H33" s="170">
        <v>0.79866656476981113</v>
      </c>
      <c r="I33" s="170">
        <v>0.69408890738403939</v>
      </c>
      <c r="J33" s="170">
        <v>0.69139128631089264</v>
      </c>
      <c r="K33" s="170">
        <v>0.67441491414639421</v>
      </c>
      <c r="L33" s="170">
        <v>0.6777219128935652</v>
      </c>
      <c r="M33" s="170">
        <v>0.71225667336577081</v>
      </c>
      <c r="N33" s="170">
        <v>0.72243928700822868</v>
      </c>
      <c r="O33" s="170">
        <v>0.73797337759905834</v>
      </c>
      <c r="P33" s="170">
        <v>0.71088727061298429</v>
      </c>
      <c r="Q33" s="170">
        <v>0.73876833494680838</v>
      </c>
      <c r="R33" s="170">
        <v>0.66623755042672428</v>
      </c>
      <c r="S33" s="170">
        <v>0.69561401288451619</v>
      </c>
      <c r="T33" s="170">
        <v>0.66942286508839333</v>
      </c>
      <c r="U33" s="170">
        <v>0.62273177975868321</v>
      </c>
      <c r="V33" s="170">
        <v>0.60636932204861616</v>
      </c>
      <c r="W33" s="170">
        <v>0.68296255075971202</v>
      </c>
      <c r="X33" s="170">
        <v>0.72851519615053217</v>
      </c>
      <c r="Y33" s="170">
        <v>0.73878871703325855</v>
      </c>
      <c r="Z33" s="170">
        <v>0.58600124601591286</v>
      </c>
      <c r="AA33" s="170">
        <v>0.58634975315382587</v>
      </c>
      <c r="AB33" s="170">
        <v>0.6488593533987107</v>
      </c>
      <c r="AC33" s="170">
        <v>0.69367701859815911</v>
      </c>
      <c r="AD33" s="170">
        <v>0.6941347613583897</v>
      </c>
      <c r="AE33" s="170">
        <v>0.68773972535130079</v>
      </c>
      <c r="AF33" s="170">
        <v>0.7648939913992544</v>
      </c>
      <c r="AG33" s="170">
        <v>0.65624330231894645</v>
      </c>
      <c r="AH33" t="s">
        <v>81</v>
      </c>
      <c r="AI33" s="170">
        <v>0.69428305949142854</v>
      </c>
      <c r="AJ33" s="170">
        <v>0.71874343494880755</v>
      </c>
      <c r="AK33" s="170">
        <v>0.70032128551482542</v>
      </c>
      <c r="AL33" s="170">
        <v>0.66029098112852846</v>
      </c>
      <c r="AM33" s="170">
        <v>0.64479016319846705</v>
      </c>
      <c r="AN33" s="170">
        <v>0.71011137417677683</v>
      </c>
    </row>
    <row r="34" spans="1:40" x14ac:dyDescent="0.25">
      <c r="A34" s="156" t="s">
        <v>78</v>
      </c>
      <c r="B34" s="44">
        <v>125185</v>
      </c>
      <c r="C34" s="44">
        <v>122834</v>
      </c>
      <c r="D34" s="44">
        <v>121419</v>
      </c>
      <c r="E34" s="44">
        <v>118919</v>
      </c>
      <c r="F34" s="44">
        <v>113098</v>
      </c>
      <c r="G34" s="44">
        <v>110329</v>
      </c>
      <c r="H34" s="44">
        <v>108095.05028344999</v>
      </c>
      <c r="I34" s="44">
        <v>109356.94800768877</v>
      </c>
      <c r="J34" s="44">
        <v>110508.2621230674</v>
      </c>
      <c r="K34" s="44">
        <v>112193.83656268986</v>
      </c>
      <c r="L34" s="44">
        <v>114433.71351674951</v>
      </c>
      <c r="M34" s="44">
        <v>116653.05848261619</v>
      </c>
      <c r="N34" s="44">
        <v>115634.66356429426</v>
      </c>
      <c r="O34" s="44">
        <v>115046.23363905106</v>
      </c>
      <c r="P34" s="44">
        <v>112703.99702327572</v>
      </c>
      <c r="Q34" s="44">
        <v>112715.87962493801</v>
      </c>
      <c r="R34" s="44">
        <v>108874.13678220857</v>
      </c>
      <c r="S34" s="44">
        <v>102366.14525457981</v>
      </c>
      <c r="T34" s="44">
        <v>99431.555677972501</v>
      </c>
      <c r="U34" s="44">
        <v>100884.57208328503</v>
      </c>
      <c r="V34" s="44">
        <v>102768.29323243051</v>
      </c>
      <c r="W34" s="44">
        <v>103409.10631018277</v>
      </c>
      <c r="X34" s="44">
        <v>101915.2726102689</v>
      </c>
      <c r="Y34" s="44">
        <v>100474.77031513726</v>
      </c>
      <c r="Z34" s="44">
        <v>97673.704749885277</v>
      </c>
      <c r="AA34" s="44">
        <v>95771.481789090089</v>
      </c>
      <c r="AB34" s="44">
        <v>94863.599044557312</v>
      </c>
      <c r="AC34" s="44">
        <v>96406.90916599601</v>
      </c>
      <c r="AD34" s="44">
        <v>97301.675671768287</v>
      </c>
      <c r="AE34" s="44">
        <v>97004.828763307305</v>
      </c>
      <c r="AF34" s="44">
        <v>94774.152275880697</v>
      </c>
      <c r="AG34" s="44">
        <v>94748.749331494168</v>
      </c>
      <c r="AH34" t="s">
        <v>81</v>
      </c>
      <c r="AI34" s="44">
        <v>112193.83656268986</v>
      </c>
      <c r="AJ34" s="44">
        <v>115046.23363905106</v>
      </c>
      <c r="AK34" s="44">
        <v>99431.555677972501</v>
      </c>
      <c r="AL34" s="44">
        <v>101915.2726102689</v>
      </c>
      <c r="AM34" s="44">
        <v>94863.599044557312</v>
      </c>
      <c r="AN34" s="44">
        <v>94774.152275880697</v>
      </c>
    </row>
    <row r="35" spans="1:40" x14ac:dyDescent="0.25">
      <c r="A35" s="156" t="s">
        <v>22</v>
      </c>
      <c r="B35" s="44">
        <v>23712</v>
      </c>
      <c r="C35" s="44">
        <v>21090</v>
      </c>
      <c r="D35" s="44">
        <v>21318</v>
      </c>
      <c r="E35" s="44">
        <v>28899</v>
      </c>
      <c r="F35" s="44">
        <v>32490</v>
      </c>
      <c r="G35" s="44">
        <v>33516</v>
      </c>
      <c r="H35" s="44">
        <v>29534.960216549996</v>
      </c>
      <c r="I35" s="44">
        <v>26777.314373723268</v>
      </c>
      <c r="J35" s="44">
        <v>22240.622981606346</v>
      </c>
      <c r="K35" s="44">
        <v>18820.98952449283</v>
      </c>
      <c r="L35" s="44">
        <v>16147.119374723115</v>
      </c>
      <c r="M35" s="44">
        <v>13300.207621079007</v>
      </c>
      <c r="N35" s="44">
        <v>10830.000000000004</v>
      </c>
      <c r="O35" s="44">
        <v>10830</v>
      </c>
      <c r="P35" s="44">
        <v>10830</v>
      </c>
      <c r="Q35" s="44">
        <v>10830.000000000002</v>
      </c>
      <c r="R35" s="44">
        <v>10829.999999999998</v>
      </c>
      <c r="S35" s="44">
        <v>10829.999999999998</v>
      </c>
      <c r="T35" s="44">
        <v>10829.999999999998</v>
      </c>
      <c r="U35" s="44">
        <v>10830</v>
      </c>
      <c r="V35" s="44">
        <v>10830.000000000002</v>
      </c>
      <c r="W35" s="44">
        <v>10830.000000000002</v>
      </c>
      <c r="X35" s="44">
        <v>10830</v>
      </c>
      <c r="Y35" s="44">
        <v>10830</v>
      </c>
      <c r="Z35" s="44">
        <v>10830.000000000002</v>
      </c>
      <c r="AA35" s="44">
        <v>10830.000000000002</v>
      </c>
      <c r="AB35" s="44">
        <v>10829.999999999998</v>
      </c>
      <c r="AC35" s="44">
        <v>10829.999999999998</v>
      </c>
      <c r="AD35" s="44">
        <v>10829.999999999996</v>
      </c>
      <c r="AE35" s="44">
        <v>10829.999999999995</v>
      </c>
      <c r="AF35" s="44">
        <v>10829.999999999995</v>
      </c>
      <c r="AG35" s="44">
        <v>10829.999999999995</v>
      </c>
      <c r="AH35" t="s">
        <v>81</v>
      </c>
      <c r="AI35" s="44">
        <v>18820.98952449283</v>
      </c>
      <c r="AJ35" s="44">
        <v>10830</v>
      </c>
      <c r="AK35" s="44">
        <v>10829.999999999998</v>
      </c>
      <c r="AL35" s="44">
        <v>10830</v>
      </c>
      <c r="AM35" s="44">
        <v>10829.999999999998</v>
      </c>
      <c r="AN35" s="44">
        <v>10829.999999999995</v>
      </c>
    </row>
    <row r="36" spans="1:40" x14ac:dyDescent="0.25">
      <c r="A36" s="156" t="s">
        <v>24</v>
      </c>
      <c r="B36" s="44">
        <v>148897</v>
      </c>
      <c r="C36" s="44">
        <v>143924</v>
      </c>
      <c r="D36" s="44">
        <v>142737</v>
      </c>
      <c r="E36" s="44">
        <v>147818</v>
      </c>
      <c r="F36" s="44">
        <v>145588</v>
      </c>
      <c r="G36" s="44">
        <v>143845</v>
      </c>
      <c r="H36" s="44">
        <v>137630.01049999997</v>
      </c>
      <c r="I36" s="44">
        <v>136134.26238141203</v>
      </c>
      <c r="J36" s="44">
        <v>132748.88510467374</v>
      </c>
      <c r="K36" s="44">
        <v>131014.82608718269</v>
      </c>
      <c r="L36" s="44">
        <v>130580.83289147263</v>
      </c>
      <c r="M36" s="44">
        <v>129953.2661036952</v>
      </c>
      <c r="N36" s="44">
        <v>126464.66356429426</v>
      </c>
      <c r="O36" s="44">
        <v>125876.23363905106</v>
      </c>
      <c r="P36" s="44">
        <v>123533.99702327572</v>
      </c>
      <c r="Q36" s="44">
        <v>123545.87962493801</v>
      </c>
      <c r="R36" s="44">
        <v>119704.13678220857</v>
      </c>
      <c r="S36" s="44">
        <v>113196.14525457981</v>
      </c>
      <c r="T36" s="44">
        <v>110261.5556779725</v>
      </c>
      <c r="U36" s="44">
        <v>111714.57208328503</v>
      </c>
      <c r="V36" s="44">
        <v>113598.29323243051</v>
      </c>
      <c r="W36" s="44">
        <v>114239.10631018277</v>
      </c>
      <c r="X36" s="44">
        <v>112745.2726102689</v>
      </c>
      <c r="Y36" s="44">
        <v>111304.77031513726</v>
      </c>
      <c r="Z36" s="44">
        <v>108503.70474988528</v>
      </c>
      <c r="AA36" s="44">
        <v>106601.48178909009</v>
      </c>
      <c r="AB36" s="44">
        <v>105693.59904455731</v>
      </c>
      <c r="AC36" s="44">
        <v>107236.90916599601</v>
      </c>
      <c r="AD36" s="44">
        <v>108131.67567176829</v>
      </c>
      <c r="AE36" s="44">
        <v>107834.82876330731</v>
      </c>
      <c r="AF36" s="44">
        <v>105604.1522758807</v>
      </c>
      <c r="AG36" s="44">
        <v>105578.74933149417</v>
      </c>
      <c r="AH36" t="s">
        <v>81</v>
      </c>
      <c r="AI36" s="44">
        <v>131014.82608718269</v>
      </c>
      <c r="AJ36" s="44">
        <v>125876.23363905106</v>
      </c>
      <c r="AK36" s="44">
        <v>110261.5556779725</v>
      </c>
      <c r="AL36" s="44">
        <v>112745.2726102689</v>
      </c>
      <c r="AM36" s="44">
        <v>105693.59904455731</v>
      </c>
      <c r="AN36" s="44">
        <v>105604.1522758807</v>
      </c>
    </row>
    <row r="37" spans="1:40" x14ac:dyDescent="0.25">
      <c r="A37" s="156" t="s">
        <v>25</v>
      </c>
      <c r="B37" s="44">
        <v>125185</v>
      </c>
      <c r="C37" s="44">
        <v>122834</v>
      </c>
      <c r="D37" s="44">
        <v>121419</v>
      </c>
      <c r="E37" s="44">
        <v>118919</v>
      </c>
      <c r="F37" s="44">
        <v>113098</v>
      </c>
      <c r="G37" s="44">
        <v>110329</v>
      </c>
      <c r="H37" s="44">
        <v>108095.05028344999</v>
      </c>
      <c r="I37" s="44">
        <v>109356.94800768877</v>
      </c>
      <c r="J37" s="44">
        <v>110508.2621230674</v>
      </c>
      <c r="K37" s="44">
        <v>112193.83656268986</v>
      </c>
      <c r="L37" s="44">
        <v>114433.71351674951</v>
      </c>
      <c r="M37" s="44">
        <v>116653.05848261619</v>
      </c>
      <c r="N37" s="44">
        <v>115634.66356429426</v>
      </c>
      <c r="O37" s="44">
        <v>115046.23363905106</v>
      </c>
      <c r="P37" s="44">
        <v>112703.99702327572</v>
      </c>
      <c r="Q37" s="44">
        <v>112715.87962493801</v>
      </c>
      <c r="R37" s="44">
        <v>108874.13678220857</v>
      </c>
      <c r="S37" s="44">
        <v>102366.14525457981</v>
      </c>
      <c r="T37" s="44">
        <v>99431.555677972501</v>
      </c>
      <c r="U37" s="44">
        <v>100884.57208328503</v>
      </c>
      <c r="V37" s="44">
        <v>102768.29323243051</v>
      </c>
      <c r="W37" s="44">
        <v>103409.10631018277</v>
      </c>
      <c r="X37" s="44">
        <v>101915.2726102689</v>
      </c>
      <c r="Y37" s="44">
        <v>100474.77031513726</v>
      </c>
      <c r="Z37" s="44">
        <v>97673.704749885277</v>
      </c>
      <c r="AA37" s="44">
        <v>95771.481789090089</v>
      </c>
      <c r="AB37" s="44">
        <v>94863.599044557312</v>
      </c>
      <c r="AC37" s="44">
        <v>96406.90916599601</v>
      </c>
      <c r="AD37" s="44">
        <v>97301.675671768287</v>
      </c>
      <c r="AE37" s="44">
        <v>97004.828763307305</v>
      </c>
      <c r="AF37" s="44">
        <v>94774.152275880697</v>
      </c>
      <c r="AG37" s="44">
        <v>94748.749331494168</v>
      </c>
      <c r="AH37" t="s">
        <v>81</v>
      </c>
      <c r="AI37" s="44">
        <v>112193.83656268986</v>
      </c>
      <c r="AJ37" s="44">
        <v>115046.23363905106</v>
      </c>
      <c r="AK37" s="44">
        <v>99431.555677972501</v>
      </c>
      <c r="AL37" s="44">
        <v>101915.2726102689</v>
      </c>
      <c r="AM37" s="44">
        <v>94863.599044557312</v>
      </c>
      <c r="AN37" s="44">
        <v>94774.152275880697</v>
      </c>
    </row>
    <row r="38" spans="1:40" x14ac:dyDescent="0.25">
      <c r="A38" s="156" t="s">
        <v>26</v>
      </c>
      <c r="B38" s="44">
        <v>193785.35</v>
      </c>
      <c r="C38" s="44">
        <v>193785.35</v>
      </c>
      <c r="D38" s="44">
        <v>193785.35</v>
      </c>
      <c r="E38" s="44">
        <v>193785.35</v>
      </c>
      <c r="F38" s="44">
        <v>193785.35</v>
      </c>
      <c r="G38" s="44">
        <v>193785.35</v>
      </c>
      <c r="H38" s="44">
        <v>193785.35</v>
      </c>
      <c r="I38" s="44">
        <v>193785.35</v>
      </c>
      <c r="J38" s="44">
        <v>193785.35</v>
      </c>
      <c r="K38" s="44">
        <v>193785.35</v>
      </c>
      <c r="L38" s="44">
        <v>193785.35</v>
      </c>
      <c r="M38" s="44">
        <v>193785.35</v>
      </c>
      <c r="N38" s="44">
        <v>193785.35</v>
      </c>
      <c r="O38" s="44">
        <v>193785.35</v>
      </c>
      <c r="P38" s="44">
        <v>193785.35</v>
      </c>
      <c r="Q38" s="44">
        <v>193785.35</v>
      </c>
      <c r="R38" s="44">
        <v>193785.35</v>
      </c>
      <c r="S38" s="44">
        <v>193785.35</v>
      </c>
      <c r="T38" s="44">
        <v>193785.35</v>
      </c>
      <c r="U38" s="44">
        <v>193785.35</v>
      </c>
      <c r="V38" s="44">
        <v>193785.35</v>
      </c>
      <c r="W38" s="44">
        <v>193785.35</v>
      </c>
      <c r="X38" s="44">
        <v>193785.35</v>
      </c>
      <c r="Y38" s="44">
        <v>193785.35</v>
      </c>
      <c r="Z38" s="44">
        <v>193785.35</v>
      </c>
      <c r="AA38" s="44">
        <v>193785.35</v>
      </c>
      <c r="AB38" s="44">
        <v>193785.35</v>
      </c>
      <c r="AC38" s="44">
        <v>193785.35</v>
      </c>
      <c r="AD38" s="44">
        <v>193785.35</v>
      </c>
      <c r="AE38" s="44">
        <v>193785.35</v>
      </c>
      <c r="AF38" s="44">
        <v>193785.35</v>
      </c>
      <c r="AG38" s="44">
        <v>193785.35</v>
      </c>
      <c r="AH38" t="s">
        <v>81</v>
      </c>
      <c r="AI38" s="44">
        <v>193785.35</v>
      </c>
      <c r="AJ38" s="44">
        <v>193785.35</v>
      </c>
      <c r="AK38" s="44">
        <v>193785.35</v>
      </c>
      <c r="AL38" s="44">
        <v>193785.35</v>
      </c>
      <c r="AM38" s="44">
        <v>193785.35</v>
      </c>
      <c r="AN38" s="44">
        <v>193785.35</v>
      </c>
    </row>
    <row r="39" spans="1:40" x14ac:dyDescent="0.25">
      <c r="A39" s="156" t="s">
        <v>27</v>
      </c>
      <c r="B39" s="95">
        <v>0.64599826560676543</v>
      </c>
      <c r="C39" s="95">
        <v>0.63386628555770597</v>
      </c>
      <c r="D39" s="95">
        <v>0.62656439199351244</v>
      </c>
      <c r="E39" s="95">
        <v>0.613663519971969</v>
      </c>
      <c r="F39" s="95">
        <v>0.58362512955700729</v>
      </c>
      <c r="G39" s="95">
        <v>0.56933612370594577</v>
      </c>
      <c r="H39" s="95">
        <v>0.55780816394763577</v>
      </c>
      <c r="I39" s="95">
        <v>0.56431999636550834</v>
      </c>
      <c r="J39" s="95">
        <v>0.57026117878914684</v>
      </c>
      <c r="K39" s="95">
        <v>0.57895933084048845</v>
      </c>
      <c r="L39" s="95">
        <v>0.5905178772118197</v>
      </c>
      <c r="M39" s="95">
        <v>0.60197047136234083</v>
      </c>
      <c r="N39" s="95">
        <v>0.59671519835887621</v>
      </c>
      <c r="O39" s="95">
        <v>0.59367869469519263</v>
      </c>
      <c r="P39" s="95">
        <v>0.58159193676547638</v>
      </c>
      <c r="Q39" s="95">
        <v>0.5816532551348077</v>
      </c>
      <c r="R39" s="95">
        <v>0.56182852203331457</v>
      </c>
      <c r="S39" s="95">
        <v>0.52824501570722349</v>
      </c>
      <c r="T39" s="95">
        <v>0.51310150988179704</v>
      </c>
      <c r="U39" s="95">
        <v>0.52059958135785311</v>
      </c>
      <c r="V39" s="95">
        <v>0.53032023954561325</v>
      </c>
      <c r="W39" s="95">
        <v>0.53362705854793857</v>
      </c>
      <c r="X39" s="95">
        <v>0.52591835559431555</v>
      </c>
      <c r="Y39" s="95">
        <v>0.51848486129182236</v>
      </c>
      <c r="Z39" s="95">
        <v>0.50403038593931515</v>
      </c>
      <c r="AA39" s="95">
        <v>0.49421425194985114</v>
      </c>
      <c r="AB39" s="95">
        <v>0.48952926031073718</v>
      </c>
      <c r="AC39" s="95">
        <v>0.49749327885723049</v>
      </c>
      <c r="AD39" s="95">
        <v>0.50211058612928317</v>
      </c>
      <c r="AE39" s="95">
        <v>0.50057875253886475</v>
      </c>
      <c r="AF39" s="95">
        <v>0.48906768378456211</v>
      </c>
      <c r="AG39" s="95">
        <v>0.4889365957307617</v>
      </c>
      <c r="AH39" t="s">
        <v>81</v>
      </c>
      <c r="AI39" s="95">
        <v>0.57895933084048845</v>
      </c>
      <c r="AJ39" s="95">
        <v>0.59367869469519263</v>
      </c>
      <c r="AK39" s="95">
        <v>0.51310150988179704</v>
      </c>
      <c r="AL39" s="95">
        <v>0.52591835559431555</v>
      </c>
      <c r="AM39" s="95">
        <v>0.48952926031073718</v>
      </c>
      <c r="AN39" s="95">
        <v>0.48906768378456211</v>
      </c>
    </row>
    <row r="40" spans="1:40" x14ac:dyDescent="0.25">
      <c r="A40" s="156" t="s">
        <v>28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t="s">
        <v>81</v>
      </c>
      <c r="AI40" s="44">
        <v>0</v>
      </c>
      <c r="AJ40" s="44">
        <v>0</v>
      </c>
      <c r="AK40" s="44">
        <v>0</v>
      </c>
      <c r="AL40" s="44">
        <v>0</v>
      </c>
      <c r="AM40" s="44">
        <v>0</v>
      </c>
      <c r="AN40" s="44">
        <v>0</v>
      </c>
    </row>
    <row r="41" spans="1:40" x14ac:dyDescent="0.25">
      <c r="A41" s="156" t="s">
        <v>29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t="s">
        <v>81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</row>
    <row r="42" spans="1:40" x14ac:dyDescent="0.25">
      <c r="A42" s="156" t="s">
        <v>30</v>
      </c>
      <c r="B42" s="95">
        <v>0</v>
      </c>
      <c r="C42" s="95">
        <v>0</v>
      </c>
      <c r="D42" s="95">
        <v>0</v>
      </c>
      <c r="E42" s="95">
        <v>0</v>
      </c>
      <c r="F42" s="95">
        <v>0</v>
      </c>
      <c r="G42" s="95">
        <v>0</v>
      </c>
      <c r="H42" s="95">
        <v>0</v>
      </c>
      <c r="I42" s="95">
        <v>0</v>
      </c>
      <c r="J42" s="95">
        <v>0</v>
      </c>
      <c r="K42" s="95">
        <v>0</v>
      </c>
      <c r="L42" s="95">
        <v>0</v>
      </c>
      <c r="M42" s="95">
        <v>0</v>
      </c>
      <c r="N42" s="95">
        <v>0</v>
      </c>
      <c r="O42" s="95">
        <v>0</v>
      </c>
      <c r="P42" s="95">
        <v>0</v>
      </c>
      <c r="Q42" s="95">
        <v>0</v>
      </c>
      <c r="R42" s="95">
        <v>0</v>
      </c>
      <c r="S42" s="95">
        <v>0</v>
      </c>
      <c r="T42" s="95">
        <v>0</v>
      </c>
      <c r="U42" s="95">
        <v>0</v>
      </c>
      <c r="V42" s="95">
        <v>0</v>
      </c>
      <c r="W42" s="95">
        <v>0</v>
      </c>
      <c r="X42" s="95">
        <v>0</v>
      </c>
      <c r="Y42" s="95">
        <v>0</v>
      </c>
      <c r="Z42" s="95">
        <v>0</v>
      </c>
      <c r="AA42" s="95">
        <v>0</v>
      </c>
      <c r="AB42" s="95">
        <v>0</v>
      </c>
      <c r="AC42" s="95">
        <v>0</v>
      </c>
      <c r="AD42" s="95">
        <v>0</v>
      </c>
      <c r="AE42" s="95">
        <v>0</v>
      </c>
      <c r="AF42" s="95">
        <v>0</v>
      </c>
      <c r="AG42" s="95">
        <v>0</v>
      </c>
      <c r="AH42" t="s">
        <v>81</v>
      </c>
      <c r="AI42" s="95">
        <v>0</v>
      </c>
      <c r="AJ42" s="95">
        <v>0</v>
      </c>
      <c r="AK42" s="95">
        <v>0</v>
      </c>
      <c r="AL42" s="95">
        <v>0</v>
      </c>
      <c r="AM42" s="95">
        <v>0</v>
      </c>
      <c r="AN42" s="95">
        <v>0</v>
      </c>
    </row>
    <row r="43" spans="1:40" x14ac:dyDescent="0.25">
      <c r="A43" s="156" t="s">
        <v>31</v>
      </c>
      <c r="B43" s="44">
        <v>193785.35</v>
      </c>
      <c r="C43" s="44">
        <v>193785.35</v>
      </c>
      <c r="D43" s="44">
        <v>193785.35</v>
      </c>
      <c r="E43" s="44">
        <v>193785.35</v>
      </c>
      <c r="F43" s="44">
        <v>193785.35</v>
      </c>
      <c r="G43" s="44">
        <v>193785.35</v>
      </c>
      <c r="H43" s="44">
        <v>193785.35</v>
      </c>
      <c r="I43" s="44">
        <v>193785.35</v>
      </c>
      <c r="J43" s="44">
        <v>193785.35</v>
      </c>
      <c r="K43" s="44">
        <v>193785.35</v>
      </c>
      <c r="L43" s="44">
        <v>193785.35</v>
      </c>
      <c r="M43" s="44">
        <v>193785.35</v>
      </c>
      <c r="N43" s="44">
        <v>193785.35</v>
      </c>
      <c r="O43" s="44">
        <v>193785.35</v>
      </c>
      <c r="P43" s="44">
        <v>193785.35</v>
      </c>
      <c r="Q43" s="44">
        <v>193785.35</v>
      </c>
      <c r="R43" s="44">
        <v>193785.35</v>
      </c>
      <c r="S43" s="44">
        <v>193785.35</v>
      </c>
      <c r="T43" s="44">
        <v>193785.35</v>
      </c>
      <c r="U43" s="44">
        <v>193785.35</v>
      </c>
      <c r="V43" s="44">
        <v>193785.35</v>
      </c>
      <c r="W43" s="44">
        <v>193785.35</v>
      </c>
      <c r="X43" s="44">
        <v>193785.35</v>
      </c>
      <c r="Y43" s="44">
        <v>193785.35</v>
      </c>
      <c r="Z43" s="44">
        <v>193785.35</v>
      </c>
      <c r="AA43" s="44">
        <v>193785.35</v>
      </c>
      <c r="AB43" s="44">
        <v>193785.35</v>
      </c>
      <c r="AC43" s="44">
        <v>193785.35</v>
      </c>
      <c r="AD43" s="44">
        <v>193785.35</v>
      </c>
      <c r="AE43" s="44">
        <v>193785.35</v>
      </c>
      <c r="AF43" s="44">
        <v>193785.35</v>
      </c>
      <c r="AG43" s="44">
        <v>193785.35</v>
      </c>
      <c r="AH43" t="s">
        <v>81</v>
      </c>
      <c r="AI43" s="44">
        <v>193785.35</v>
      </c>
      <c r="AJ43" s="44">
        <v>193785.35</v>
      </c>
      <c r="AK43" s="44">
        <v>193785.35</v>
      </c>
      <c r="AL43" s="44">
        <v>193785.35</v>
      </c>
      <c r="AM43" s="44">
        <v>193785.35</v>
      </c>
      <c r="AN43" s="44">
        <v>193785.35</v>
      </c>
    </row>
    <row r="44" spans="1:40" x14ac:dyDescent="0.25">
      <c r="A44" s="156" t="s">
        <v>32</v>
      </c>
      <c r="B44" s="95">
        <v>0.64599826560676543</v>
      </c>
      <c r="C44" s="95">
        <v>0.63386628555770597</v>
      </c>
      <c r="D44" s="95">
        <v>0.62656439199351244</v>
      </c>
      <c r="E44" s="95">
        <v>0.613663519971969</v>
      </c>
      <c r="F44" s="95">
        <v>0.58362512955700729</v>
      </c>
      <c r="G44" s="95">
        <v>0.56933612370594577</v>
      </c>
      <c r="H44" s="95">
        <v>0.55780816394763577</v>
      </c>
      <c r="I44" s="95">
        <v>0.56431999636550834</v>
      </c>
      <c r="J44" s="95">
        <v>0.57026117878914684</v>
      </c>
      <c r="K44" s="95">
        <v>0.57895933084048845</v>
      </c>
      <c r="L44" s="95">
        <v>0.5905178772118197</v>
      </c>
      <c r="M44" s="95">
        <v>0.60197047136234083</v>
      </c>
      <c r="N44" s="95">
        <v>0.59671519835887621</v>
      </c>
      <c r="O44" s="95">
        <v>0.59367869469519263</v>
      </c>
      <c r="P44" s="95">
        <v>0.58159193676547638</v>
      </c>
      <c r="Q44" s="95">
        <v>0.5816532551348077</v>
      </c>
      <c r="R44" s="95">
        <v>0.56182852203331457</v>
      </c>
      <c r="S44" s="95">
        <v>0.52824501570722349</v>
      </c>
      <c r="T44" s="95">
        <v>0.51310150988179704</v>
      </c>
      <c r="U44" s="95">
        <v>0.52059958135785311</v>
      </c>
      <c r="V44" s="95">
        <v>0.53032023954561325</v>
      </c>
      <c r="W44" s="95">
        <v>0.53362705854793857</v>
      </c>
      <c r="X44" s="95">
        <v>0.52591835559431555</v>
      </c>
      <c r="Y44" s="95">
        <v>0.51848486129182236</v>
      </c>
      <c r="Z44" s="95">
        <v>0.50403038593931515</v>
      </c>
      <c r="AA44" s="95">
        <v>0.49421425194985114</v>
      </c>
      <c r="AB44" s="95">
        <v>0.48952926031073718</v>
      </c>
      <c r="AC44" s="95">
        <v>0.49749327885723049</v>
      </c>
      <c r="AD44" s="95">
        <v>0.50211058612928317</v>
      </c>
      <c r="AE44" s="95">
        <v>0.50057875253886475</v>
      </c>
      <c r="AF44" s="95">
        <v>0.48906768378456211</v>
      </c>
      <c r="AG44" s="95">
        <v>0.4889365957307617</v>
      </c>
      <c r="AH44" t="s">
        <v>81</v>
      </c>
      <c r="AI44" s="95">
        <v>0.57895933084048845</v>
      </c>
      <c r="AJ44" s="95">
        <v>0.59367869469519263</v>
      </c>
      <c r="AK44" s="95">
        <v>0.51310150988179704</v>
      </c>
      <c r="AL44" s="95">
        <v>0.52591835559431555</v>
      </c>
      <c r="AM44" s="95">
        <v>0.48952926031073718</v>
      </c>
      <c r="AN44" s="95">
        <v>0.48906768378456211</v>
      </c>
    </row>
    <row r="45" spans="1:40" x14ac:dyDescent="0.25">
      <c r="A45" s="156" t="s">
        <v>79</v>
      </c>
      <c r="B45" s="44">
        <v>10830</v>
      </c>
      <c r="C45" s="44">
        <v>10830</v>
      </c>
      <c r="D45" s="44">
        <v>10830</v>
      </c>
      <c r="E45" s="44">
        <v>10830</v>
      </c>
      <c r="F45" s="44">
        <v>10830</v>
      </c>
      <c r="G45" s="44">
        <v>10830</v>
      </c>
      <c r="H45" s="44">
        <v>10830</v>
      </c>
      <c r="I45" s="44">
        <v>10830</v>
      </c>
      <c r="J45" s="44">
        <v>10830</v>
      </c>
      <c r="K45" s="44">
        <v>10830</v>
      </c>
      <c r="L45" s="44">
        <v>10830</v>
      </c>
      <c r="M45" s="44">
        <v>10830</v>
      </c>
      <c r="N45" s="44">
        <v>10830</v>
      </c>
      <c r="O45" s="44">
        <v>10830</v>
      </c>
      <c r="P45" s="44">
        <v>10830</v>
      </c>
      <c r="Q45" s="44">
        <v>10830</v>
      </c>
      <c r="R45" s="44">
        <v>10830</v>
      </c>
      <c r="S45" s="44">
        <v>10830</v>
      </c>
      <c r="T45" s="44">
        <v>10830</v>
      </c>
      <c r="U45" s="44">
        <v>10830</v>
      </c>
      <c r="V45" s="44">
        <v>10830</v>
      </c>
      <c r="W45" s="44">
        <v>10830</v>
      </c>
      <c r="X45" s="44">
        <v>10830</v>
      </c>
      <c r="Y45" s="44">
        <v>10830</v>
      </c>
      <c r="Z45" s="44">
        <v>10830</v>
      </c>
      <c r="AA45" s="44">
        <v>10830</v>
      </c>
      <c r="AB45" s="44">
        <v>10830</v>
      </c>
      <c r="AC45" s="44">
        <v>10830</v>
      </c>
      <c r="AD45" s="44">
        <v>10830</v>
      </c>
      <c r="AE45" s="44">
        <v>10830</v>
      </c>
      <c r="AF45" s="44">
        <v>10830</v>
      </c>
      <c r="AG45" s="44">
        <v>10830</v>
      </c>
      <c r="AH45" t="s">
        <v>81</v>
      </c>
      <c r="AI45" s="44">
        <v>10830</v>
      </c>
      <c r="AJ45" s="44">
        <v>10830</v>
      </c>
      <c r="AK45" s="44">
        <v>10830</v>
      </c>
      <c r="AL45" s="44">
        <v>10830</v>
      </c>
      <c r="AM45" s="44">
        <v>10830</v>
      </c>
      <c r="AN45" s="44">
        <v>10830</v>
      </c>
    </row>
    <row r="46" spans="1:40" x14ac:dyDescent="0.25">
      <c r="A46" s="156" t="s">
        <v>80</v>
      </c>
      <c r="B46" s="95">
        <v>0.72769222836898595</v>
      </c>
      <c r="C46" s="95">
        <v>0.70338808891903759</v>
      </c>
      <c r="D46" s="95">
        <v>0.69758696011809473</v>
      </c>
      <c r="E46" s="95">
        <v>0.72241891920620815</v>
      </c>
      <c r="F46" s="95">
        <v>0.71152042112187575</v>
      </c>
      <c r="G46" s="95">
        <v>0.7030019986281576</v>
      </c>
      <c r="H46" s="95">
        <v>0.67262798465511009</v>
      </c>
      <c r="I46" s="95">
        <v>0.66531793622234126</v>
      </c>
      <c r="J46" s="95">
        <v>0.64877285650697147</v>
      </c>
      <c r="K46" s="95">
        <v>0.64029813055170437</v>
      </c>
      <c r="L46" s="95">
        <v>0.63817711081535489</v>
      </c>
      <c r="M46" s="95">
        <v>0.63511005456675274</v>
      </c>
      <c r="N46" s="95">
        <v>0.61806049039964139</v>
      </c>
      <c r="O46" s="95">
        <v>0.61518470456420327</v>
      </c>
      <c r="P46" s="95">
        <v>0.60373768157313568</v>
      </c>
      <c r="Q46" s="95">
        <v>0.60379575444822686</v>
      </c>
      <c r="R46" s="95">
        <v>0.58502031632626084</v>
      </c>
      <c r="S46" s="95">
        <v>0.55321433731428171</v>
      </c>
      <c r="T46" s="95">
        <v>0.53887235575421144</v>
      </c>
      <c r="U46" s="95">
        <v>0.54597356495143223</v>
      </c>
      <c r="V46" s="95">
        <v>0.55517972250092928</v>
      </c>
      <c r="W46" s="95">
        <v>0.55831151626787912</v>
      </c>
      <c r="X46" s="95">
        <v>0.55101082401818291</v>
      </c>
      <c r="Y46" s="95">
        <v>0.54397077401640326</v>
      </c>
      <c r="Z46" s="95">
        <v>0.53028135352448036</v>
      </c>
      <c r="AA46" s="95">
        <v>0.52098477357192452</v>
      </c>
      <c r="AB46" s="95">
        <v>0.51654775188937341</v>
      </c>
      <c r="AC46" s="95">
        <v>0.52409024624005973</v>
      </c>
      <c r="AD46" s="95">
        <v>0.52846316599301213</v>
      </c>
      <c r="AE46" s="95">
        <v>0.52701241017991707</v>
      </c>
      <c r="AF46" s="95">
        <v>0.51611060595346681</v>
      </c>
      <c r="AG46" s="95">
        <v>0.5159864562042592</v>
      </c>
      <c r="AH46" t="s">
        <v>81</v>
      </c>
      <c r="AI46" s="95">
        <v>0.64029813055170437</v>
      </c>
      <c r="AJ46" s="95">
        <v>0.61518470456420327</v>
      </c>
      <c r="AK46" s="95">
        <v>0.53887235575421144</v>
      </c>
      <c r="AL46" s="95">
        <v>0.55101082401818291</v>
      </c>
      <c r="AM46" s="95">
        <v>0.51654775188937341</v>
      </c>
      <c r="AN46" s="95">
        <v>0.51611060595346681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839B-A76F-424E-9B71-622B549F8A65}">
  <dimension ref="A2:AA28"/>
  <sheetViews>
    <sheetView workbookViewId="0">
      <selection activeCell="A28" sqref="A28"/>
    </sheetView>
  </sheetViews>
  <sheetFormatPr defaultRowHeight="15" x14ac:dyDescent="0.25"/>
  <cols>
    <col min="1" max="1" width="58.28515625" bestFit="1" customWidth="1"/>
  </cols>
  <sheetData>
    <row r="2" spans="1:27" x14ac:dyDescent="0.25">
      <c r="A2" t="s">
        <v>70</v>
      </c>
      <c r="B2" t="s">
        <v>74</v>
      </c>
    </row>
    <row r="3" spans="1:27" x14ac:dyDescent="0.25">
      <c r="A3" s="125">
        <f>_xlfn.XLOOKUP($A$2,Overview_Report!$B:$B,Overview_Report!I:I)</f>
        <v>0.79866656476981113</v>
      </c>
      <c r="B3" s="125"/>
      <c r="AA3" s="125"/>
    </row>
    <row r="4" spans="1:27" x14ac:dyDescent="0.25">
      <c r="A4" s="125">
        <f>_xlfn.XLOOKUP($A$2,Overview_Report!$B:$B,Overview_Report!J:J)</f>
        <v>0.69408890738403939</v>
      </c>
      <c r="B4" s="124"/>
    </row>
    <row r="5" spans="1:27" x14ac:dyDescent="0.25">
      <c r="A5" s="125">
        <f>_xlfn.XLOOKUP($A$2,Overview_Report!$B:$B,Overview_Report!K:K)</f>
        <v>0.69139128631089264</v>
      </c>
      <c r="B5" s="124"/>
    </row>
    <row r="6" spans="1:27" x14ac:dyDescent="0.25">
      <c r="A6" s="125">
        <f>_xlfn.XLOOKUP($A$2,Overview_Report!$B:$B,Overview_Report!L:L)</f>
        <v>0.67441491414639421</v>
      </c>
      <c r="B6" s="124"/>
    </row>
    <row r="7" spans="1:27" x14ac:dyDescent="0.25">
      <c r="A7" s="125">
        <f>_xlfn.XLOOKUP($A$2,Overview_Report!$B:$B,Overview_Report!M:M)</f>
        <v>0.6777219128935652</v>
      </c>
      <c r="B7" s="124"/>
    </row>
    <row r="8" spans="1:27" x14ac:dyDescent="0.25">
      <c r="A8" s="125">
        <f>_xlfn.XLOOKUP($A$2,Overview_Report!$B:$B,Overview_Report!N:N)</f>
        <v>0.71225667336577081</v>
      </c>
      <c r="B8" s="124"/>
    </row>
    <row r="9" spans="1:27" x14ac:dyDescent="0.25">
      <c r="A9" s="125">
        <f>_xlfn.XLOOKUP($A$2,Overview_Report!$B:$B,Overview_Report!O:O)</f>
        <v>0.72243928700822868</v>
      </c>
      <c r="B9" s="124"/>
    </row>
    <row r="10" spans="1:27" x14ac:dyDescent="0.25">
      <c r="A10" s="125">
        <f>_xlfn.XLOOKUP($A$2,Overview_Report!$B:$B,Overview_Report!P:P)</f>
        <v>0.73797337759905834</v>
      </c>
      <c r="B10" s="124"/>
    </row>
    <row r="11" spans="1:27" x14ac:dyDescent="0.25">
      <c r="A11" s="125">
        <f>_xlfn.XLOOKUP($A$2,Overview_Report!$B:$B,Overview_Report!Q:Q)</f>
        <v>0.71088727061298429</v>
      </c>
      <c r="B11" s="124"/>
    </row>
    <row r="12" spans="1:27" x14ac:dyDescent="0.25">
      <c r="A12" s="125">
        <f>_xlfn.XLOOKUP($A$2,Overview_Report!$B:$B,Overview_Report!R:R)</f>
        <v>0.73876833494680838</v>
      </c>
      <c r="B12" s="124"/>
    </row>
    <row r="13" spans="1:27" x14ac:dyDescent="0.25">
      <c r="A13" s="125">
        <f>_xlfn.XLOOKUP($A$2,Overview_Report!$B:$B,Overview_Report!S:S)</f>
        <v>0.66623755042672428</v>
      </c>
      <c r="B13" s="124"/>
    </row>
    <row r="14" spans="1:27" x14ac:dyDescent="0.25">
      <c r="A14" s="125">
        <f>_xlfn.XLOOKUP($A$2,Overview_Report!$B:$B,Overview_Report!T:T)</f>
        <v>0.69561401288451619</v>
      </c>
      <c r="B14" s="124"/>
    </row>
    <row r="15" spans="1:27" x14ac:dyDescent="0.25">
      <c r="A15" s="125">
        <f>_xlfn.XLOOKUP($A$2,Overview_Report!$B:$B,Overview_Report!U:U)</f>
        <v>0.66942286508839333</v>
      </c>
      <c r="B15" s="124"/>
    </row>
    <row r="16" spans="1:27" x14ac:dyDescent="0.25">
      <c r="A16" s="125">
        <f>_xlfn.XLOOKUP($A$2,Overview_Report!$B:$B,Overview_Report!V:V)</f>
        <v>0.62273177975868321</v>
      </c>
      <c r="B16" s="124"/>
    </row>
    <row r="17" spans="1:2" x14ac:dyDescent="0.25">
      <c r="A17" s="125">
        <f>_xlfn.XLOOKUP($A$2,Overview_Report!$B:$B,Overview_Report!W:W)</f>
        <v>0.60636932204861616</v>
      </c>
      <c r="B17" s="124"/>
    </row>
    <row r="18" spans="1:2" x14ac:dyDescent="0.25">
      <c r="A18" s="125">
        <f>_xlfn.XLOOKUP($A$2,Overview_Report!$B:$B,Overview_Report!X:X)</f>
        <v>0.68296255075971202</v>
      </c>
      <c r="B18" s="124"/>
    </row>
    <row r="19" spans="1:2" x14ac:dyDescent="0.25">
      <c r="A19" s="125">
        <f>_xlfn.XLOOKUP($A$2,Overview_Report!$B:$B,Overview_Report!Y:Y)</f>
        <v>0.72851519615053217</v>
      </c>
      <c r="B19" s="124"/>
    </row>
    <row r="20" spans="1:2" x14ac:dyDescent="0.25">
      <c r="A20" s="125">
        <f>_xlfn.XLOOKUP($A$2,Overview_Report!$B:$B,Overview_Report!Z:Z)</f>
        <v>0.73878871703325855</v>
      </c>
      <c r="B20" s="124"/>
    </row>
    <row r="21" spans="1:2" x14ac:dyDescent="0.25">
      <c r="A21" s="125">
        <f>_xlfn.XLOOKUP($A$2,Overview_Report!$B:$B,Overview_Report!AA:AA)</f>
        <v>0.58600124601591286</v>
      </c>
      <c r="B21" s="124"/>
    </row>
    <row r="22" spans="1:2" x14ac:dyDescent="0.25">
      <c r="A22" s="125">
        <f>_xlfn.XLOOKUP($A$2,Overview_Report!$B:$B,Overview_Report!AB:AB)</f>
        <v>0.58634975315382587</v>
      </c>
      <c r="B22" s="124"/>
    </row>
    <row r="23" spans="1:2" x14ac:dyDescent="0.25">
      <c r="A23" s="125">
        <f>_xlfn.XLOOKUP($A$2,Overview_Report!$B:$B,Overview_Report!AC:AC)</f>
        <v>0.6488593533987107</v>
      </c>
      <c r="B23" s="124"/>
    </row>
    <row r="24" spans="1:2" x14ac:dyDescent="0.25">
      <c r="A24" s="125">
        <f>_xlfn.XLOOKUP($A$2,Overview_Report!$B:$B,Overview_Report!AD:AD)</f>
        <v>0.69367701859815911</v>
      </c>
      <c r="B24" s="124"/>
    </row>
    <row r="25" spans="1:2" x14ac:dyDescent="0.25">
      <c r="A25" s="125">
        <f>_xlfn.XLOOKUP($A$2,Overview_Report!$B:$B,Overview_Report!AE:AE)</f>
        <v>0.6941347613583897</v>
      </c>
      <c r="B25" s="124"/>
    </row>
    <row r="26" spans="1:2" x14ac:dyDescent="0.25">
      <c r="A26" s="125">
        <f>_xlfn.XLOOKUP($A$2,Overview_Report!$B:$B,Overview_Report!AF:AF)</f>
        <v>0.68773972535130079</v>
      </c>
      <c r="B26" s="124"/>
    </row>
    <row r="27" spans="1:2" x14ac:dyDescent="0.25">
      <c r="A27" s="125">
        <f>_xlfn.XLOOKUP($A$2,Overview_Report!$B:$B,Overview_Report!AG:AG)</f>
        <v>0.7648939913992544</v>
      </c>
      <c r="B27" s="124"/>
    </row>
    <row r="28" spans="1:2" x14ac:dyDescent="0.25">
      <c r="A28" s="125">
        <f>_xlfn.XLOOKUP($A$2,Overview_Report!$B:$B,Overview_Report!AH:AH)</f>
        <v>0.65624330231894645</v>
      </c>
      <c r="B28" s="1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&amp;C_x000D_&amp;1#&amp;"Noto IKEA Latin"&amp;8&amp;K5A5A5A Internal</oddFooter>
  </headerFooter>
  <customProperties>
    <customPr name="CafeStyleVersion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V53"/>
  <sheetViews>
    <sheetView topLeftCell="B23" zoomScale="90" zoomScaleNormal="90" workbookViewId="0">
      <selection activeCell="C39" sqref="C39:H51"/>
    </sheetView>
  </sheetViews>
  <sheetFormatPr defaultColWidth="9.140625" defaultRowHeight="15" x14ac:dyDescent="0.25"/>
  <cols>
    <col min="1" max="1" width="36.28515625" hidden="1" customWidth="1"/>
    <col min="2" max="2" width="43.5703125" customWidth="1"/>
    <col min="3" max="8" width="8.85546875" customWidth="1"/>
    <col min="9" max="20" width="7.7109375" customWidth="1"/>
    <col min="21" max="21" width="9.140625" customWidth="1"/>
    <col min="22" max="22" width="8.7109375" customWidth="1"/>
  </cols>
  <sheetData>
    <row r="2" spans="1:22" x14ac:dyDescent="0.25">
      <c r="C2" s="174" t="s">
        <v>51</v>
      </c>
      <c r="D2" s="174"/>
      <c r="E2" s="174"/>
      <c r="F2" s="174"/>
      <c r="G2" s="174"/>
      <c r="H2" s="174"/>
    </row>
    <row r="3" spans="1:22" x14ac:dyDescent="0.25">
      <c r="C3" t="str">
        <f>Overview_Report!C3</f>
        <v>Actuals</v>
      </c>
      <c r="D3">
        <f>Overview_Report!D3</f>
        <v>0</v>
      </c>
      <c r="E3">
        <f>Overview_Report!E3</f>
        <v>0</v>
      </c>
      <c r="F3">
        <f>Overview_Report!F3</f>
        <v>0</v>
      </c>
      <c r="G3">
        <f>Overview_Report!G3</f>
        <v>0</v>
      </c>
      <c r="H3">
        <f>Overview_Report!H3</f>
        <v>0</v>
      </c>
      <c r="I3" t="str">
        <f>Overview_Report!I3</f>
        <v>Forecast</v>
      </c>
      <c r="J3">
        <f>Overview_Report!J3</f>
        <v>0</v>
      </c>
      <c r="K3">
        <f>Overview_Report!K3</f>
        <v>0</v>
      </c>
      <c r="L3">
        <f>Overview_Report!L3</f>
        <v>0</v>
      </c>
      <c r="M3">
        <f>Overview_Report!M3</f>
        <v>0</v>
      </c>
      <c r="N3">
        <f>Overview_Report!N3</f>
        <v>0</v>
      </c>
      <c r="O3">
        <f>Overview_Report!O3</f>
        <v>0</v>
      </c>
      <c r="P3">
        <f>Overview_Report!P3</f>
        <v>0</v>
      </c>
      <c r="Q3">
        <f>Overview_Report!Q3</f>
        <v>0</v>
      </c>
      <c r="R3">
        <f>Overview_Report!R3</f>
        <v>0</v>
      </c>
      <c r="S3">
        <f>Overview_Report!S3</f>
        <v>0</v>
      </c>
      <c r="T3">
        <f>Overview_Report!T3</f>
        <v>0</v>
      </c>
      <c r="U3">
        <f>Overview_Report!U3</f>
        <v>0</v>
      </c>
      <c r="V3">
        <f>Overview_Report!V3</f>
        <v>0</v>
      </c>
    </row>
    <row r="5" spans="1:22" x14ac:dyDescent="0.25">
      <c r="B5" s="79"/>
      <c r="C5" s="79" t="str">
        <f>Overview_Report!C5</f>
        <v>202631</v>
      </c>
      <c r="D5" s="79" t="str">
        <f>Overview_Report!D5</f>
        <v>202632</v>
      </c>
      <c r="E5" s="79" t="str">
        <f>Overview_Report!E5</f>
        <v>202633</v>
      </c>
      <c r="F5" s="79" t="str">
        <f>Overview_Report!F5</f>
        <v>202634</v>
      </c>
      <c r="G5" s="79" t="str">
        <f>Overview_Report!G5</f>
        <v>202635</v>
      </c>
      <c r="H5" s="79" t="str">
        <f>Overview_Report!H5</f>
        <v>202636</v>
      </c>
      <c r="I5" s="79" t="str">
        <f>Overview_Report!I5</f>
        <v>202637</v>
      </c>
      <c r="J5" s="79" t="str">
        <f>Overview_Report!J5</f>
        <v>202638</v>
      </c>
      <c r="K5" s="79" t="str">
        <f>Overview_Report!K5</f>
        <v>202639</v>
      </c>
      <c r="L5" s="79" t="str">
        <f>Overview_Report!L5</f>
        <v>202640</v>
      </c>
      <c r="M5" s="79" t="str">
        <f>Overview_Report!M5</f>
        <v>202641</v>
      </c>
      <c r="N5" s="79" t="str">
        <f>Overview_Report!N5</f>
        <v>202642</v>
      </c>
      <c r="O5" s="79" t="str">
        <f>Overview_Report!O5</f>
        <v>202643</v>
      </c>
      <c r="P5" s="79" t="str">
        <f>Overview_Report!P5</f>
        <v>202644</v>
      </c>
      <c r="Q5" s="79" t="str">
        <f>Overview_Report!Q5</f>
        <v>202645</v>
      </c>
      <c r="R5" s="79" t="str">
        <f>Overview_Report!R5</f>
        <v>202646</v>
      </c>
      <c r="S5" s="79" t="str">
        <f>Overview_Report!S5</f>
        <v>202647</v>
      </c>
      <c r="T5" s="79" t="str">
        <f>Overview_Report!T5</f>
        <v>202648</v>
      </c>
      <c r="U5" s="79" t="str">
        <f>Overview_Report!U5</f>
        <v>202649</v>
      </c>
      <c r="V5" s="79" t="str">
        <f>Overview_Report!V5</f>
        <v>202650</v>
      </c>
    </row>
    <row r="6" spans="1:22" x14ac:dyDescent="0.25">
      <c r="B6" t="s">
        <v>0</v>
      </c>
      <c r="C6" s="89">
        <f>_xlfn.XLOOKUP($B6,Overview_Report!$B:$B,Overview_Report!C:C)</f>
        <v>12448.035999999998</v>
      </c>
      <c r="D6" s="89">
        <f>_xlfn.XLOOKUP($B6,Overview_Report!$B:$B,Overview_Report!D:D)</f>
        <v>11717.21</v>
      </c>
      <c r="E6" s="89">
        <f>_xlfn.XLOOKUP($B6,Overview_Report!$B:$B,Overview_Report!E:E)</f>
        <v>10275.363999999998</v>
      </c>
      <c r="F6" s="89">
        <f>_xlfn.XLOOKUP($B6,Overview_Report!$B:$B,Overview_Report!F:F)</f>
        <v>10026.023000000001</v>
      </c>
      <c r="G6" s="89">
        <f>_xlfn.XLOOKUP($B6,Overview_Report!$B:$B,Overview_Report!G:G)</f>
        <v>10575.209000000001</v>
      </c>
      <c r="H6" s="89">
        <f>_xlfn.XLOOKUP($B6,Overview_Report!$B:$B,Overview_Report!H:H)</f>
        <v>10369.806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</row>
    <row r="7" spans="1:22" x14ac:dyDescent="0.25">
      <c r="A7" s="2" t="s">
        <v>33</v>
      </c>
      <c r="B7" s="80" t="s">
        <v>2</v>
      </c>
      <c r="C7" s="89">
        <f>_xlfn.XLOOKUP($B7,Overview_Report!$B:$B,Overview_Report!C:C)</f>
        <v>17464.036</v>
      </c>
      <c r="D7" s="89">
        <f>_xlfn.XLOOKUP($B7,Overview_Report!$B:$B,Overview_Report!D:D)</f>
        <v>9095.2099999999991</v>
      </c>
      <c r="E7" s="89">
        <f>_xlfn.XLOOKUP($B7,Overview_Report!$B:$B,Overview_Report!E:E)</f>
        <v>10503.363999999998</v>
      </c>
      <c r="F7" s="89">
        <f>_xlfn.XLOOKUP($B7,Overview_Report!$B:$B,Overview_Report!F:F)</f>
        <v>17607.023000000001</v>
      </c>
      <c r="G7" s="89">
        <f>_xlfn.XLOOKUP($B7,Overview_Report!$B:$B,Overview_Report!G:G)</f>
        <v>14166.209000000001</v>
      </c>
      <c r="H7" s="89">
        <f>_xlfn.XLOOKUP($B7,Overview_Report!$B:$B,Overview_Report!H:H)</f>
        <v>11395.806</v>
      </c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</row>
    <row r="8" spans="1:22" x14ac:dyDescent="0.25">
      <c r="A8" s="2" t="s">
        <v>35</v>
      </c>
      <c r="B8" s="80" t="s">
        <v>1</v>
      </c>
      <c r="C8" s="89">
        <f>_xlfn.XLOOKUP($B8,Overview_Report!$B:$B,Overview_Report!C:C)</f>
        <v>191.42200000000003</v>
      </c>
      <c r="D8" s="89">
        <f>_xlfn.XLOOKUP($B8,Overview_Report!$B:$B,Overview_Report!D:D)</f>
        <v>51.860999999999997</v>
      </c>
      <c r="E8" s="89">
        <f>_xlfn.XLOOKUP($B8,Overview_Report!$B:$B,Overview_Report!E:E)</f>
        <v>0</v>
      </c>
      <c r="F8" s="89">
        <f>_xlfn.XLOOKUP($B8,Overview_Report!$B:$B,Overview_Report!F:F)</f>
        <v>0</v>
      </c>
      <c r="G8" s="89">
        <f>_xlfn.XLOOKUP($B8,Overview_Report!$B:$B,Overview_Report!G:G)</f>
        <v>0</v>
      </c>
      <c r="H8" s="89">
        <f>_xlfn.XLOOKUP($B8,Overview_Report!$B:$B,Overview_Report!H:H)</f>
        <v>0.51900000000000002</v>
      </c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</row>
    <row r="9" spans="1:22" x14ac:dyDescent="0.25">
      <c r="A9" s="2" t="s">
        <v>33</v>
      </c>
      <c r="B9" t="s">
        <v>60</v>
      </c>
      <c r="C9" s="89">
        <f>_xlfn.XLOOKUP($B9,Overview_Report!$B:$B,Overview_Report!C:C)</f>
        <v>17655.457999999999</v>
      </c>
      <c r="D9" s="89">
        <f>_xlfn.XLOOKUP($B9,Overview_Report!$B:$B,Overview_Report!D:D)</f>
        <v>9147.0709999999981</v>
      </c>
      <c r="E9" s="89">
        <f>_xlfn.XLOOKUP($B9,Overview_Report!$B:$B,Overview_Report!E:E)</f>
        <v>10503.363999999998</v>
      </c>
      <c r="F9" s="89">
        <f>_xlfn.XLOOKUP($B9,Overview_Report!$B:$B,Overview_Report!F:F)</f>
        <v>17607.023000000001</v>
      </c>
      <c r="G9" s="89">
        <f>_xlfn.XLOOKUP($B9,Overview_Report!$B:$B,Overview_Report!G:G)</f>
        <v>14166.209000000001</v>
      </c>
      <c r="H9" s="89">
        <f>_xlfn.XLOOKUP($B9,Overview_Report!$B:$B,Overview_Report!H:H)</f>
        <v>11396.325000000001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  <row r="10" spans="1:22" x14ac:dyDescent="0.25">
      <c r="A10" s="2" t="s">
        <v>34</v>
      </c>
      <c r="B10" s="80" t="s">
        <v>3</v>
      </c>
      <c r="C10" s="89">
        <f>_xlfn.XLOOKUP($B10,Overview_Report!$B:$B,Overview_Report!C:C)</f>
        <v>6489.9530000000004</v>
      </c>
      <c r="D10" s="89">
        <f>_xlfn.XLOOKUP($B10,Overview_Report!$B:$B,Overview_Report!D:D)</f>
        <v>8016.13</v>
      </c>
      <c r="E10" s="89">
        <f>_xlfn.XLOOKUP($B10,Overview_Report!$B:$B,Overview_Report!E:E)</f>
        <v>8413.51</v>
      </c>
      <c r="F10" s="89">
        <f>_xlfn.XLOOKUP($B10,Overview_Report!$B:$B,Overview_Report!F:F)</f>
        <v>7785.01</v>
      </c>
      <c r="G10" s="89">
        <f>_xlfn.XLOOKUP($B10,Overview_Report!$B:$B,Overview_Report!G:G)</f>
        <v>8503.8339999999989</v>
      </c>
      <c r="H10" s="89">
        <f>_xlfn.XLOOKUP($B10,Overview_Report!$B:$B,Overview_Report!H:H)</f>
        <v>7333.4699999999993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</row>
    <row r="11" spans="1:22" x14ac:dyDescent="0.25">
      <c r="B11" s="82" t="s">
        <v>4</v>
      </c>
      <c r="C11" s="90">
        <f>_xlfn.XLOOKUP($B11,Overview_Report!$B:$B,Overview_Report!C:C)</f>
        <v>19129.411</v>
      </c>
      <c r="D11" s="90">
        <f>_xlfn.XLOOKUP($B11,Overview_Report!$B:$B,Overview_Report!D:D)</f>
        <v>19785.200999999997</v>
      </c>
      <c r="E11" s="90">
        <f>_xlfn.XLOOKUP($B11,Overview_Report!$B:$B,Overview_Report!E:E)</f>
        <v>18688.874</v>
      </c>
      <c r="F11" s="90">
        <f>_xlfn.XLOOKUP($B11,Overview_Report!$B:$B,Overview_Report!F:F)</f>
        <v>17811.032999999999</v>
      </c>
      <c r="G11" s="90">
        <f>_xlfn.XLOOKUP($B11,Overview_Report!$B:$B,Overview_Report!G:G)</f>
        <v>19079.042999999998</v>
      </c>
      <c r="H11" s="90">
        <f>_xlfn.XLOOKUP($B11,Overview_Report!$B:$B,Overview_Report!H:H)</f>
        <v>17703.794999999998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</row>
    <row r="12" spans="1:22" s="78" customFormat="1" x14ac:dyDescent="0.25">
      <c r="A12" s="3" t="s">
        <v>36</v>
      </c>
      <c r="B12" s="81" t="s">
        <v>5</v>
      </c>
      <c r="C12" s="90">
        <f>_xlfn.XLOOKUP($B12,Overview_Report!$B:$B,Overview_Report!C:C)</f>
        <v>24145.411</v>
      </c>
      <c r="D12" s="90">
        <f>_xlfn.XLOOKUP($B12,Overview_Report!$B:$B,Overview_Report!D:D)</f>
        <v>17163.200999999997</v>
      </c>
      <c r="E12" s="90">
        <f>_xlfn.XLOOKUP($B12,Overview_Report!$B:$B,Overview_Report!E:E)</f>
        <v>18916.874000000003</v>
      </c>
      <c r="F12" s="90">
        <f>_xlfn.XLOOKUP($B12,Overview_Report!$B:$B,Overview_Report!F:F)</f>
        <v>25392.033000000003</v>
      </c>
      <c r="G12" s="90">
        <f>_xlfn.XLOOKUP($B12,Overview_Report!$B:$B,Overview_Report!G:G)</f>
        <v>22670.043000000001</v>
      </c>
      <c r="H12" s="90">
        <f>_xlfn.XLOOKUP($B12,Overview_Report!$B:$B,Overview_Report!H:H)</f>
        <v>18729.794999999998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</row>
    <row r="13" spans="1:22" x14ac:dyDescent="0.25">
      <c r="A13" s="7"/>
      <c r="B13" t="s">
        <v>63</v>
      </c>
      <c r="C13" s="106">
        <f>_xlfn.XLOOKUP($B13,Overview_Report!$B:$B,Overview_Report!C:C)</f>
        <v>4918.0049999999992</v>
      </c>
      <c r="D13" s="106">
        <f>_xlfn.XLOOKUP($B13,Overview_Report!$B:$B,Overview_Report!D:D)</f>
        <v>4182.2859999999991</v>
      </c>
      <c r="E13" s="106">
        <f>_xlfn.XLOOKUP($B13,Overview_Report!$B:$B,Overview_Report!E:E)</f>
        <v>4576.3840000000009</v>
      </c>
      <c r="F13" s="106">
        <f>_xlfn.XLOOKUP($B13,Overview_Report!$B:$B,Overview_Report!F:F)</f>
        <v>4214.8849999999993</v>
      </c>
      <c r="G13" s="106">
        <f>_xlfn.XLOOKUP($B13,Overview_Report!$B:$B,Overview_Report!G:G)</f>
        <v>4870.5720000000001</v>
      </c>
      <c r="H13" s="106">
        <f>_xlfn.XLOOKUP($B13,Overview_Report!$B:$B,Overview_Report!H:H)</f>
        <v>4541.3829999999998</v>
      </c>
    </row>
    <row r="14" spans="1:22" x14ac:dyDescent="0.25">
      <c r="A14" s="4" t="s">
        <v>37</v>
      </c>
      <c r="B14" t="s">
        <v>64</v>
      </c>
      <c r="C14" s="106">
        <f>_xlfn.XLOOKUP($B14,Overview_Report!$B:$B,Overview_Report!C:C)</f>
        <v>6489.9530000000004</v>
      </c>
      <c r="D14" s="106">
        <f>_xlfn.XLOOKUP($B14,Overview_Report!$B:$B,Overview_Report!D:D)</f>
        <v>8016.13</v>
      </c>
      <c r="E14" s="106">
        <f>_xlfn.XLOOKUP($B14,Overview_Report!$B:$B,Overview_Report!E:E)</f>
        <v>8413.51</v>
      </c>
      <c r="F14" s="106">
        <f>_xlfn.XLOOKUP($B14,Overview_Report!$B:$B,Overview_Report!F:F)</f>
        <v>7785.01</v>
      </c>
      <c r="G14" s="106">
        <f>_xlfn.XLOOKUP($B14,Overview_Report!$B:$B,Overview_Report!G:G)</f>
        <v>8503.8339999999989</v>
      </c>
      <c r="H14" s="106">
        <f>_xlfn.XLOOKUP($B14,Overview_Report!$B:$B,Overview_Report!H:H)</f>
        <v>7333.4699999999993</v>
      </c>
    </row>
    <row r="15" spans="1:22" x14ac:dyDescent="0.25">
      <c r="A15" s="4" t="s">
        <v>39</v>
      </c>
      <c r="B15" t="s">
        <v>65</v>
      </c>
      <c r="C15" s="106">
        <f>_xlfn.XLOOKUP($B15,Overview_Report!$B:$B,Overview_Report!C:C)</f>
        <v>12737.453</v>
      </c>
      <c r="D15" s="106">
        <f>_xlfn.XLOOKUP($B15,Overview_Report!$B:$B,Overview_Report!D:D)</f>
        <v>4964.7849999999999</v>
      </c>
      <c r="E15" s="106">
        <f>_xlfn.XLOOKUP($B15,Overview_Report!$B:$B,Overview_Report!E:E)</f>
        <v>5926.98</v>
      </c>
      <c r="F15" s="106">
        <f>_xlfn.XLOOKUP($B15,Overview_Report!$B:$B,Overview_Report!F:F)</f>
        <v>13392.137999999999</v>
      </c>
      <c r="G15" s="106">
        <f>_xlfn.XLOOKUP($B15,Overview_Report!$B:$B,Overview_Report!G:G)</f>
        <v>9295.6370000000006</v>
      </c>
      <c r="H15" s="106">
        <f>_xlfn.XLOOKUP($B15,Overview_Report!$B:$B,Overview_Report!H:H)</f>
        <v>6854.9419999999991</v>
      </c>
    </row>
    <row r="16" spans="1:22" x14ac:dyDescent="0.25">
      <c r="A16" s="4" t="s">
        <v>40</v>
      </c>
      <c r="B16" t="s">
        <v>66</v>
      </c>
      <c r="C16" s="106">
        <f>_xlfn.XLOOKUP($B16,Overview_Report!$B:$B,Overview_Report!C:C)</f>
        <v>0</v>
      </c>
      <c r="D16" s="106">
        <f>_xlfn.XLOOKUP($B16,Overview_Report!$B:$B,Overview_Report!D:D)</f>
        <v>0</v>
      </c>
      <c r="E16" s="106">
        <f>_xlfn.XLOOKUP($B16,Overview_Report!$B:$B,Overview_Report!E:E)</f>
        <v>0</v>
      </c>
      <c r="F16" s="106">
        <f>_xlfn.XLOOKUP($B16,Overview_Report!$B:$B,Overview_Report!F:F)</f>
        <v>0</v>
      </c>
      <c r="G16" s="106">
        <f>_xlfn.XLOOKUP($B16,Overview_Report!$B:$B,Overview_Report!G:G)</f>
        <v>0</v>
      </c>
      <c r="H16" s="106">
        <f>_xlfn.XLOOKUP($B16,Overview_Report!$B:$B,Overview_Report!H:H)</f>
        <v>0</v>
      </c>
    </row>
    <row r="17" spans="1:22" x14ac:dyDescent="0.25">
      <c r="B17" s="7" t="s">
        <v>6</v>
      </c>
      <c r="C17" s="91">
        <f>_xlfn.XLOOKUP($B17,Overview_Report!$B:$B,Overview_Report!C:C)</f>
        <v>0</v>
      </c>
      <c r="D17" s="91">
        <f>_xlfn.XLOOKUP($B17,Overview_Report!$B:$B,Overview_Report!D:D)</f>
        <v>0</v>
      </c>
      <c r="E17" s="91">
        <f>_xlfn.XLOOKUP($B17,Overview_Report!$B:$B,Overview_Report!E:E)</f>
        <v>0</v>
      </c>
      <c r="F17" s="91">
        <f>_xlfn.XLOOKUP($B17,Overview_Report!$B:$B,Overview_Report!F:F)</f>
        <v>0</v>
      </c>
      <c r="G17" s="91">
        <f>_xlfn.XLOOKUP($B17,Overview_Report!$B:$B,Overview_Report!G:G)</f>
        <v>0</v>
      </c>
      <c r="H17" s="7">
        <f>_xlfn.XLOOKUP($B17,Overview_Report!$B:$B,Overview_Report!H:H)</f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25">
      <c r="A18" s="4" t="s">
        <v>38</v>
      </c>
      <c r="B18" s="83" t="s">
        <v>7</v>
      </c>
      <c r="C18" s="89">
        <f>_xlfn.XLOOKUP($B18,Overview_Report!$B:$B,Overview_Report!C:C)</f>
        <v>10007.477000000001</v>
      </c>
      <c r="D18" s="89">
        <f>_xlfn.XLOOKUP($B18,Overview_Report!$B:$B,Overview_Report!D:D)</f>
        <v>9971.09</v>
      </c>
      <c r="E18" s="89">
        <f>_xlfn.XLOOKUP($B18,Overview_Report!$B:$B,Overview_Report!E:E)</f>
        <v>8690.5730000000003</v>
      </c>
      <c r="F18" s="89">
        <f>_xlfn.XLOOKUP($B18,Overview_Report!$B:$B,Overview_Report!F:F)</f>
        <v>8999.5210000000006</v>
      </c>
      <c r="G18" s="89">
        <f>_xlfn.XLOOKUP($B18,Overview_Report!$B:$B,Overview_Report!G:G)</f>
        <v>10979.087</v>
      </c>
      <c r="H18" s="89">
        <f>_xlfn.XLOOKUP($B18,Overview_Report!$B:$B,Overview_Report!H:H)</f>
        <v>10368.393000000002</v>
      </c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</row>
    <row r="19" spans="1:22" s="78" customFormat="1" x14ac:dyDescent="0.25">
      <c r="A19" s="5" t="s">
        <v>41</v>
      </c>
      <c r="B19" s="83" t="s">
        <v>8</v>
      </c>
      <c r="C19" s="89">
        <f>_xlfn.XLOOKUP($B19,Overview_Report!$B:$B,Overview_Report!C:C)</f>
        <v>3629.4190000000003</v>
      </c>
      <c r="D19" s="89">
        <f>_xlfn.XLOOKUP($B19,Overview_Report!$B:$B,Overview_Report!D:D)</f>
        <v>3876.8670000000002</v>
      </c>
      <c r="E19" s="89">
        <f>_xlfn.XLOOKUP($B19,Overview_Report!$B:$B,Overview_Report!E:E)</f>
        <v>3382.087</v>
      </c>
      <c r="F19" s="89">
        <f>_xlfn.XLOOKUP($B19,Overview_Report!$B:$B,Overview_Report!F:F)</f>
        <v>4102.25</v>
      </c>
      <c r="G19" s="89">
        <f>_xlfn.XLOOKUP($B19,Overview_Report!$B:$B,Overview_Report!G:G)</f>
        <v>3643.7550000000001</v>
      </c>
      <c r="H19" s="89">
        <f>_xlfn.XLOOKUP($B19,Overview_Report!$B:$B,Overview_Report!H:H)</f>
        <v>3723.7109999999993</v>
      </c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</row>
    <row r="20" spans="1:22" x14ac:dyDescent="0.25">
      <c r="B20" s="83" t="s">
        <v>9</v>
      </c>
      <c r="C20" s="89">
        <f>_xlfn.XLOOKUP($B20,Overview_Report!$B:$B,Overview_Report!C:C)</f>
        <v>297.82299999999998</v>
      </c>
      <c r="D20" s="89">
        <f>_xlfn.XLOOKUP($B20,Overview_Report!$B:$B,Overview_Report!D:D)</f>
        <v>0</v>
      </c>
      <c r="E20" s="89">
        <f>_xlfn.XLOOKUP($B20,Overview_Report!$B:$B,Overview_Report!E:E)</f>
        <v>0</v>
      </c>
      <c r="F20" s="89">
        <f>_xlfn.XLOOKUP($B20,Overview_Report!$B:$B,Overview_Report!F:F)</f>
        <v>0</v>
      </c>
      <c r="G20" s="89">
        <f>_xlfn.XLOOKUP($B20,Overview_Report!$B:$B,Overview_Report!G:G)</f>
        <v>201.25400000000002</v>
      </c>
      <c r="H20" s="89">
        <f>_xlfn.XLOOKUP($B20,Overview_Report!$B:$B,Overview_Report!H:H)</f>
        <v>40.454999999999998</v>
      </c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</row>
    <row r="21" spans="1:22" x14ac:dyDescent="0.25">
      <c r="A21" s="6" t="s">
        <v>14</v>
      </c>
      <c r="B21" t="s">
        <v>10</v>
      </c>
      <c r="C21" s="89">
        <f>_xlfn.XLOOKUP($B21,Overview_Report!$B:$B,Overview_Report!C:C)</f>
        <v>13934.719000000001</v>
      </c>
      <c r="D21" s="89">
        <f>_xlfn.XLOOKUP($B21,Overview_Report!$B:$B,Overview_Report!D:D)</f>
        <v>13847.957000000002</v>
      </c>
      <c r="E21" s="89">
        <f>_xlfn.XLOOKUP($B21,Overview_Report!$B:$B,Overview_Report!E:E)</f>
        <v>12072.660000000002</v>
      </c>
      <c r="F21" s="89">
        <f>_xlfn.XLOOKUP($B21,Overview_Report!$B:$B,Overview_Report!F:F)</f>
        <v>13101.771000000001</v>
      </c>
      <c r="G21" s="89">
        <f>_xlfn.XLOOKUP($B21,Overview_Report!$B:$B,Overview_Report!G:G)</f>
        <v>14824.096</v>
      </c>
      <c r="H21" s="89">
        <f>_xlfn.XLOOKUP($B21,Overview_Report!$B:$B,Overview_Report!H:H)</f>
        <v>14132.558999999999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 spans="1:22" x14ac:dyDescent="0.25">
      <c r="B22" s="83" t="s">
        <v>11</v>
      </c>
      <c r="C22" s="89">
        <f>_xlfn.XLOOKUP($B22,Overview_Report!$B:$B,Overview_Report!C:C)</f>
        <v>6815.12</v>
      </c>
      <c r="D22" s="89">
        <f>_xlfn.XLOOKUP($B22,Overview_Report!$B:$B,Overview_Report!D:D)</f>
        <v>7643.7059999999992</v>
      </c>
      <c r="E22" s="89">
        <f>_xlfn.XLOOKUP($B22,Overview_Report!$B:$B,Overview_Report!E:E)</f>
        <v>8230.7090000000007</v>
      </c>
      <c r="F22" s="89">
        <f>_xlfn.XLOOKUP($B22,Overview_Report!$B:$B,Overview_Report!F:F)</f>
        <v>7483.62</v>
      </c>
      <c r="G22" s="89">
        <f>_xlfn.XLOOKUP($B22,Overview_Report!$B:$B,Overview_Report!G:G)</f>
        <v>7821.6380000000008</v>
      </c>
      <c r="H22" s="89">
        <f>_xlfn.XLOOKUP($B22,Overview_Report!$B:$B,Overview_Report!H:H)</f>
        <v>7754.7690000000002</v>
      </c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spans="1:22" x14ac:dyDescent="0.25">
      <c r="A23" s="73" t="s">
        <v>42</v>
      </c>
      <c r="B23" s="84" t="s">
        <v>12</v>
      </c>
      <c r="C23" s="90">
        <f>_xlfn.XLOOKUP($B23,Overview_Report!$B:$B,Overview_Report!C:C)</f>
        <v>20749.839000000004</v>
      </c>
      <c r="D23" s="90">
        <f>_xlfn.XLOOKUP($B23,Overview_Report!$B:$B,Overview_Report!D:D)</f>
        <v>21491.663</v>
      </c>
      <c r="E23" s="90">
        <f>_xlfn.XLOOKUP($B23,Overview_Report!$B:$B,Overview_Report!E:E)</f>
        <v>20303.369000000002</v>
      </c>
      <c r="F23" s="90">
        <f>_xlfn.XLOOKUP($B23,Overview_Report!$B:$B,Overview_Report!F:F)</f>
        <v>20585.391000000003</v>
      </c>
      <c r="G23" s="90">
        <f>_xlfn.XLOOKUP($B23,Overview_Report!$B:$B,Overview_Report!G:G)</f>
        <v>22645.733999999997</v>
      </c>
      <c r="H23" s="90">
        <f>_xlfn.XLOOKUP($B23,Overview_Report!$B:$B,Overview_Report!H:H)</f>
        <v>21887.328000000005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spans="1:22" x14ac:dyDescent="0.25">
      <c r="B24" t="s">
        <v>13</v>
      </c>
      <c r="C24" s="94">
        <f>_xlfn.XLOOKUP($B24,Overview_Report!$B:$B,Overview_Report!C:C)</f>
        <v>5.776542749085934E-2</v>
      </c>
      <c r="D24" s="94">
        <f>_xlfn.XLOOKUP($B24,Overview_Report!$B:$B,Overview_Report!D:D)</f>
        <v>5.7071089980998628E-2</v>
      </c>
      <c r="E24" s="94">
        <f>_xlfn.XLOOKUP($B24,Overview_Report!$B:$B,Overview_Report!E:E)</f>
        <v>8.2201933956559683E-2</v>
      </c>
      <c r="F24" s="94">
        <f>_xlfn.XLOOKUP($B24,Overview_Report!$B:$B,Overview_Report!F:F)</f>
        <v>6.4379540750635927E-2</v>
      </c>
      <c r="G24" s="94">
        <f>_xlfn.XLOOKUP($B24,Overview_Report!$B:$B,Overview_Report!G:G)</f>
        <v>7.3257485650389739E-2</v>
      </c>
      <c r="H24" s="94">
        <f>_xlfn.XLOOKUP($B24,Overview_Report!$B:$B,Overview_Report!H:H)</f>
        <v>5.5953843886305379E-2</v>
      </c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</row>
    <row r="25" spans="1:22" x14ac:dyDescent="0.25">
      <c r="B25" s="85" t="s">
        <v>14</v>
      </c>
      <c r="C25" s="89">
        <f>_xlfn.XLOOKUP($B25,Overview_Report!$B:$B,Overview_Report!C:C)</f>
        <v>804.94500000000005</v>
      </c>
      <c r="D25" s="89">
        <f>_xlfn.XLOOKUP($B25,Overview_Report!$B:$B,Overview_Report!D:D)</f>
        <v>790.31799999999998</v>
      </c>
      <c r="E25" s="89">
        <f>_xlfn.XLOOKUP($B25,Overview_Report!$B:$B,Overview_Report!E:E)</f>
        <v>992.39599999999996</v>
      </c>
      <c r="F25" s="89">
        <f>_xlfn.XLOOKUP($B25,Overview_Report!$B:$B,Overview_Report!F:F)</f>
        <v>843.48599999999999</v>
      </c>
      <c r="G25" s="89">
        <f>_xlfn.XLOOKUP($B25,Overview_Report!$B:$B,Overview_Report!G:G)</f>
        <v>1085.9759999999999</v>
      </c>
      <c r="H25" s="89">
        <f>_xlfn.XLOOKUP($B25,Overview_Report!$B:$B,Overview_Report!H:H)</f>
        <v>790.77100000000007</v>
      </c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</row>
    <row r="26" spans="1:22" x14ac:dyDescent="0.25">
      <c r="B26" s="85" t="s">
        <v>15</v>
      </c>
      <c r="C26" s="97">
        <f>_xlfn.XLOOKUP($B26,Overview_Report!$B:$B,Overview_Report!C:C)</f>
        <v>6.7793451726515475</v>
      </c>
      <c r="D26" s="97">
        <f>_xlfn.XLOOKUP($B26,Overview_Report!$B:$B,Overview_Report!D:D)</f>
        <v>6.5479971353303359</v>
      </c>
      <c r="E26" s="97">
        <f>_xlfn.XLOOKUP($B26,Overview_Report!$B:$B,Overview_Report!E:E)</f>
        <v>6.5225978339291979</v>
      </c>
      <c r="F26" s="97">
        <f>_xlfn.XLOOKUP($B26,Overview_Report!$B:$B,Overview_Report!F:F)</f>
        <v>6.0012851428476583</v>
      </c>
      <c r="G26" s="97">
        <f>_xlfn.XLOOKUP($B26,Overview_Report!$B:$B,Overview_Report!G:G)</f>
        <v>6.0903740045820536</v>
      </c>
      <c r="H26" s="97">
        <f>_xlfn.XLOOKUP($B26,Overview_Report!$B:$B,Overview_Report!H:H)</f>
        <v>6.441814381154594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</row>
    <row r="27" spans="1:22" x14ac:dyDescent="0.25">
      <c r="A27" s="7"/>
      <c r="B27" t="s">
        <v>16</v>
      </c>
      <c r="C27" s="97">
        <f>_xlfn.XLOOKUP($B27,Overview_Report!$B:$B,Overview_Report!C:C)</f>
        <v>1.2349012196410334</v>
      </c>
      <c r="D27" s="97">
        <f>_xlfn.XLOOKUP($B27,Overview_Report!$B:$B,Overview_Report!D:D)</f>
        <v>1.2801381947448007</v>
      </c>
      <c r="E27" s="97">
        <f>_xlfn.XLOOKUP($B27,Overview_Report!$B:$B,Overview_Report!E:E)</f>
        <v>1.2980655736948055</v>
      </c>
      <c r="F27" s="97">
        <f>_xlfn.XLOOKUP($B27,Overview_Report!$B:$B,Overview_Report!F:F)</f>
        <v>1.3016427878486614</v>
      </c>
      <c r="G27" s="97">
        <f>_xlfn.XLOOKUP($B27,Overview_Report!$B:$B,Overview_Report!G:G)</f>
        <v>1.2190541162861281</v>
      </c>
      <c r="H27" s="97">
        <f>_xlfn.XLOOKUP($B27,Overview_Report!$B:$B,Overview_Report!H:H)</f>
        <v>1.2002936515581573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</row>
    <row r="28" spans="1:22" x14ac:dyDescent="0.25">
      <c r="B28" t="s">
        <v>17</v>
      </c>
      <c r="C28" s="97">
        <f>_xlfn.XLOOKUP($B28,Overview_Report!$B:$B,Overview_Report!C:C)</f>
        <v>1.4547089690957355</v>
      </c>
      <c r="D28" s="97">
        <f>_xlfn.XLOOKUP($B28,Overview_Report!$B:$B,Overview_Report!D:D)</f>
        <v>1.4901621954780642</v>
      </c>
      <c r="E28" s="97">
        <f>_xlfn.XLOOKUP($B28,Overview_Report!$B:$B,Overview_Report!E:E)</f>
        <v>1.4904879522726175</v>
      </c>
      <c r="F28" s="97">
        <f>_xlfn.XLOOKUP($B28,Overview_Report!$B:$B,Overview_Report!F:F)</f>
        <v>1.4848732918185534</v>
      </c>
      <c r="G28" s="97">
        <f>_xlfn.XLOOKUP($B28,Overview_Report!$B:$B,Overview_Report!G:G)</f>
        <v>1.5097407796699986</v>
      </c>
      <c r="H28" s="97">
        <f>_xlfn.XLOOKUP($B28,Overview_Report!$B:$B,Overview_Report!H:H)</f>
        <v>1.5594611456875194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</row>
    <row r="29" spans="1:22" x14ac:dyDescent="0.25">
      <c r="A29" s="8" t="s">
        <v>43</v>
      </c>
      <c r="B29" t="s">
        <v>42</v>
      </c>
      <c r="C29" s="106">
        <f>_xlfn.XLOOKUP($B29,Overview_Report!$B:$B,Overview_Report!C:C)</f>
        <v>5457</v>
      </c>
      <c r="D29" s="106">
        <f>_xlfn.XLOOKUP($B29,Overview_Report!$B:$B,Overview_Report!D:D)</f>
        <v>5175</v>
      </c>
      <c r="E29" s="106">
        <f>_xlfn.XLOOKUP($B29,Overview_Report!$B:$B,Overview_Report!E:E)</f>
        <v>6473</v>
      </c>
      <c r="F29" s="106">
        <f>_xlfn.XLOOKUP($B29,Overview_Report!$B:$B,Overview_Report!F:F)</f>
        <v>5062</v>
      </c>
      <c r="G29" s="106">
        <f>_xlfn.XLOOKUP($B29,Overview_Report!$B:$B,Overview_Report!G:G)</f>
        <v>6614</v>
      </c>
      <c r="H29" s="106">
        <f>_xlfn.XLOOKUP($B29,Overview_Report!$B:$B,Overview_Report!H:H)</f>
        <v>5094</v>
      </c>
    </row>
    <row r="30" spans="1:22" x14ac:dyDescent="0.25">
      <c r="B30" t="s">
        <v>67</v>
      </c>
      <c r="C30" s="106">
        <f>_xlfn.XLOOKUP($B30,Overview_Report!$B:$B,Overview_Report!C:C)</f>
        <v>8416</v>
      </c>
      <c r="D30" s="106">
        <f>_xlfn.XLOOKUP($B30,Overview_Report!$B:$B,Overview_Report!D:D)</f>
        <v>9785</v>
      </c>
      <c r="E30" s="106">
        <f>_xlfn.XLOOKUP($B30,Overview_Report!$B:$B,Overview_Report!E:E)</f>
        <v>10684</v>
      </c>
      <c r="F30" s="106">
        <f>_xlfn.XLOOKUP($B30,Overview_Report!$B:$B,Overview_Report!F:F)</f>
        <v>9741</v>
      </c>
      <c r="G30" s="106">
        <f>_xlfn.XLOOKUP($B30,Overview_Report!$B:$B,Overview_Report!G:G)</f>
        <v>9535</v>
      </c>
      <c r="H30" s="106">
        <f>_xlfn.XLOOKUP($B30,Overview_Report!$B:$B,Overview_Report!H:H)</f>
        <v>9308</v>
      </c>
    </row>
    <row r="31" spans="1:22" x14ac:dyDescent="0.25">
      <c r="B31" t="s">
        <v>18</v>
      </c>
      <c r="C31" s="89">
        <f>_xlfn.XLOOKUP($B31,Overview_Report!$B:$B,Overview_Report!C:C)</f>
        <v>19100</v>
      </c>
      <c r="D31" s="89">
        <f>_xlfn.XLOOKUP($B31,Overview_Report!$B:$B,Overview_Report!D:D)</f>
        <v>19458</v>
      </c>
      <c r="E31" s="89">
        <f>_xlfn.XLOOKUP($B31,Overview_Report!$B:$B,Overview_Report!E:E)</f>
        <v>16515</v>
      </c>
      <c r="F31" s="89">
        <f>_xlfn.XLOOKUP($B31,Overview_Report!$B:$B,Overview_Report!F:F)</f>
        <v>18202</v>
      </c>
      <c r="G31" s="89">
        <f>_xlfn.XLOOKUP($B31,Overview_Report!$B:$B,Overview_Report!G:G)</f>
        <v>20741</v>
      </c>
      <c r="H31" s="89">
        <f>_xlfn.XLOOKUP($B31,Overview_Report!$B:$B,Overview_Report!H:H)</f>
        <v>20806</v>
      </c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</row>
    <row r="32" spans="1:22" x14ac:dyDescent="0.25">
      <c r="B32" t="s">
        <v>19</v>
      </c>
      <c r="C32" s="89">
        <f>_xlfn.XLOOKUP($B32,Overview_Report!$B:$B,Overview_Report!C:C)</f>
        <v>32973</v>
      </c>
      <c r="D32" s="89">
        <f>_xlfn.XLOOKUP($B32,Overview_Report!$B:$B,Overview_Report!D:D)</f>
        <v>34418</v>
      </c>
      <c r="E32" s="89">
        <f>_xlfn.XLOOKUP($B32,Overview_Report!$B:$B,Overview_Report!E:E)</f>
        <v>33672</v>
      </c>
      <c r="F32" s="89">
        <f>_xlfn.XLOOKUP($B32,Overview_Report!$B:$B,Overview_Report!F:F)</f>
        <v>33005</v>
      </c>
      <c r="G32" s="89">
        <f>_xlfn.XLOOKUP($B32,Overview_Report!$B:$B,Overview_Report!G:G)</f>
        <v>36890</v>
      </c>
      <c r="H32" s="89">
        <f>_xlfn.XLOOKUP($B32,Overview_Report!$B:$B,Overview_Report!H:H)</f>
        <v>35208</v>
      </c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</row>
    <row r="33" spans="1:22" x14ac:dyDescent="0.25">
      <c r="A33" s="74" t="s">
        <v>44</v>
      </c>
      <c r="B33" s="7" t="s">
        <v>6</v>
      </c>
      <c r="C33" s="91">
        <f>_xlfn.XLOOKUP($B33,Overview_Report!$B:$B,Overview_Report!C:C)</f>
        <v>0</v>
      </c>
      <c r="D33" s="91">
        <f>_xlfn.XLOOKUP($B33,Overview_Report!$B:$B,Overview_Report!D:D)</f>
        <v>0</v>
      </c>
      <c r="E33" s="91">
        <f>_xlfn.XLOOKUP($B33,Overview_Report!$B:$B,Overview_Report!E:E)</f>
        <v>0</v>
      </c>
      <c r="F33" s="91">
        <f>_xlfn.XLOOKUP($B33,Overview_Report!$B:$B,Overview_Report!F:F)</f>
        <v>0</v>
      </c>
      <c r="G33" s="91">
        <f>_xlfn.XLOOKUP($B33,Overview_Report!$B:$B,Overview_Report!G:G)</f>
        <v>0</v>
      </c>
      <c r="H33" s="91">
        <f>_xlfn.XLOOKUP($B33,Overview_Report!$B:$B,Overview_Report!H:H)</f>
        <v>0</v>
      </c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</row>
    <row r="34" spans="1:22" x14ac:dyDescent="0.25">
      <c r="A34" s="75" t="s">
        <v>46</v>
      </c>
      <c r="B34" s="82" t="s">
        <v>20</v>
      </c>
      <c r="C34" s="90">
        <f>_xlfn.XLOOKUP($B34,Overview_Report!$B:$B,Overview_Report!C:C)</f>
        <v>39879.250000000007</v>
      </c>
      <c r="D34" s="90">
        <f>_xlfn.XLOOKUP($B34,Overview_Report!$B:$B,Overview_Report!D:D)</f>
        <v>41276.864000000001</v>
      </c>
      <c r="E34" s="90">
        <f>_xlfn.XLOOKUP($B34,Overview_Report!$B:$B,Overview_Report!E:E)</f>
        <v>38992.243000000002</v>
      </c>
      <c r="F34" s="90">
        <f>_xlfn.XLOOKUP($B34,Overview_Report!$B:$B,Overview_Report!F:F)</f>
        <v>38396.423999999992</v>
      </c>
      <c r="G34" s="90">
        <f>_xlfn.XLOOKUP($B34,Overview_Report!$B:$B,Overview_Report!G:G)</f>
        <v>41724.777000000016</v>
      </c>
      <c r="H34" s="90">
        <f>_xlfn.XLOOKUP($B34,Overview_Report!$B:$B,Overview_Report!H:H)</f>
        <v>39591.122999999992</v>
      </c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</row>
    <row r="35" spans="1:22" x14ac:dyDescent="0.25">
      <c r="B35" s="86" t="s">
        <v>21</v>
      </c>
      <c r="C35" s="99">
        <f>_xlfn.XLOOKUP($B35,Overview_Report!$B:$B,Overview_Report!C:C)</f>
        <v>44895.250000000007</v>
      </c>
      <c r="D35" s="99">
        <f>_xlfn.XLOOKUP($B35,Overview_Report!$B:$B,Overview_Report!D:D)</f>
        <v>38654.864000000001</v>
      </c>
      <c r="E35" s="99">
        <f>_xlfn.XLOOKUP($B35,Overview_Report!$B:$B,Overview_Report!E:E)</f>
        <v>39220.243000000002</v>
      </c>
      <c r="F35" s="99">
        <f>_xlfn.XLOOKUP($B35,Overview_Report!$B:$B,Overview_Report!F:F)</f>
        <v>45977.423999999999</v>
      </c>
      <c r="G35" s="99">
        <f>_xlfn.XLOOKUP($B35,Overview_Report!$B:$B,Overview_Report!G:G)</f>
        <v>45315.777000000016</v>
      </c>
      <c r="H35" s="99">
        <f>_xlfn.XLOOKUP($B35,Overview_Report!$B:$B,Overview_Report!H:H)</f>
        <v>40617.122999999992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</row>
    <row r="36" spans="1:22" x14ac:dyDescent="0.25">
      <c r="B36" t="s">
        <v>68</v>
      </c>
      <c r="C36" s="44">
        <f>_xlfn.XLOOKUP($B36,Overview_Report!$B:$B,Overview_Report!C:C)</f>
        <v>62559.993999999984</v>
      </c>
      <c r="D36" s="44">
        <f>_xlfn.XLOOKUP($B36,Overview_Report!$B:$B,Overview_Report!D:D)</f>
        <v>62559.993999999992</v>
      </c>
      <c r="E36" s="44">
        <f>_xlfn.XLOOKUP($B36,Overview_Report!$B:$B,Overview_Report!E:E)</f>
        <v>62559.993999999984</v>
      </c>
      <c r="F36" s="44">
        <f>_xlfn.XLOOKUP($B36,Overview_Report!$B:$B,Overview_Report!F:F)</f>
        <v>62559.993999999984</v>
      </c>
      <c r="G36" s="44">
        <f>_xlfn.XLOOKUP($B36,Overview_Report!$B:$B,Overview_Report!G:G)</f>
        <v>62559.993999999984</v>
      </c>
      <c r="H36" s="44">
        <f>_xlfn.XLOOKUP($B36,Overview_Report!$B:$B,Overview_Report!H:H)</f>
        <v>62559.993999999984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 spans="1:22" x14ac:dyDescent="0.25">
      <c r="A37" s="74" t="s">
        <v>47</v>
      </c>
      <c r="B37" t="s">
        <v>69</v>
      </c>
      <c r="C37" s="95">
        <f>_xlfn.XLOOKUP($B37,Overview_Report!$B:$B,Overview_Report!C:C)</f>
        <v>0.63745610333658276</v>
      </c>
      <c r="D37" s="95">
        <f>_xlfn.XLOOKUP($B37,Overview_Report!$B:$B,Overview_Report!D:D)</f>
        <v>0.65979648271705393</v>
      </c>
      <c r="E37" s="95">
        <f>_xlfn.XLOOKUP($B37,Overview_Report!$B:$B,Overview_Report!E:E)</f>
        <v>0.62327760133736587</v>
      </c>
      <c r="F37" s="95">
        <f>_xlfn.XLOOKUP($B37,Overview_Report!$B:$B,Overview_Report!F:F)</f>
        <v>0.61375363942649996</v>
      </c>
      <c r="G37" s="95">
        <f>_xlfn.XLOOKUP($B37,Overview_Report!$B:$B,Overview_Report!G:G)</f>
        <v>0.66695621805846084</v>
      </c>
      <c r="H37" s="95">
        <f>_xlfn.XLOOKUP($B37,Overview_Report!$B:$B,Overview_Report!H:H)</f>
        <v>0.63285049228105761</v>
      </c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</row>
    <row r="38" spans="1:22" x14ac:dyDescent="0.25">
      <c r="A38" s="76" t="s">
        <v>48</v>
      </c>
      <c r="B38" t="s">
        <v>70</v>
      </c>
      <c r="C38" s="95">
        <f>_xlfn.XLOOKUP($B38,Overview_Report!$B:$B,Overview_Report!C:C)</f>
        <v>0.7176351391593806</v>
      </c>
      <c r="D38" s="95">
        <f>_xlfn.XLOOKUP($B38,Overview_Report!$B:$B,Overview_Report!D:D)</f>
        <v>0.6178847139915008</v>
      </c>
      <c r="E38" s="95">
        <f>_xlfn.XLOOKUP($B38,Overview_Report!$B:$B,Overview_Report!E:E)</f>
        <v>0.62692210296567508</v>
      </c>
      <c r="F38" s="95">
        <f>_xlfn.XLOOKUP($B38,Overview_Report!$B:$B,Overview_Report!F:F)</f>
        <v>0.73493331856777366</v>
      </c>
      <c r="G38" s="95">
        <f>_xlfn.XLOOKUP($B38,Overview_Report!$B:$B,Overview_Report!G:G)</f>
        <v>0.72435711870432773</v>
      </c>
      <c r="H38" s="95">
        <f>_xlfn.XLOOKUP($B38,Overview_Report!$B:$B,Overview_Report!H:H)</f>
        <v>0.64925074960844786</v>
      </c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</row>
    <row r="39" spans="1:22" x14ac:dyDescent="0.25">
      <c r="A39" s="75" t="s">
        <v>28</v>
      </c>
      <c r="B39" t="s">
        <v>23</v>
      </c>
      <c r="C39" s="44">
        <f>_xlfn.XLOOKUP($B39,Overview_Report!$B:$B,Overview_Report!C:C)</f>
        <v>125185</v>
      </c>
      <c r="D39" s="44">
        <f>_xlfn.XLOOKUP($B39,Overview_Report!$B:$B,Overview_Report!D:D)</f>
        <v>122834</v>
      </c>
      <c r="E39" s="44">
        <f>_xlfn.XLOOKUP($B39,Overview_Report!$B:$B,Overview_Report!E:E)</f>
        <v>121419</v>
      </c>
      <c r="F39" s="44">
        <f>_xlfn.XLOOKUP($B39,Overview_Report!$B:$B,Overview_Report!F:F)</f>
        <v>118919</v>
      </c>
      <c r="G39" s="44">
        <f>_xlfn.XLOOKUP($B39,Overview_Report!$B:$B,Overview_Report!G:G)</f>
        <v>113098</v>
      </c>
      <c r="H39" s="44">
        <f>_xlfn.XLOOKUP($B39,Overview_Report!$B:$B,Overview_Report!H:H)</f>
        <v>110329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 spans="1:22" x14ac:dyDescent="0.25">
      <c r="A40" s="74" t="s">
        <v>49</v>
      </c>
      <c r="B40" s="88" t="s">
        <v>22</v>
      </c>
      <c r="C40" s="44">
        <f>_xlfn.XLOOKUP($B40,Overview_Report!$B:$B,Overview_Report!C:C)</f>
        <v>23712</v>
      </c>
      <c r="D40" s="44">
        <f>_xlfn.XLOOKUP($B40,Overview_Report!$B:$B,Overview_Report!D:D)</f>
        <v>21090</v>
      </c>
      <c r="E40" s="44">
        <f>_xlfn.XLOOKUP($B40,Overview_Report!$B:$B,Overview_Report!E:E)</f>
        <v>21318</v>
      </c>
      <c r="F40" s="44">
        <f>_xlfn.XLOOKUP($B40,Overview_Report!$B:$B,Overview_Report!F:F)</f>
        <v>28899</v>
      </c>
      <c r="G40" s="44">
        <f>_xlfn.XLOOKUP($B40,Overview_Report!$B:$B,Overview_Report!G:G)</f>
        <v>32490</v>
      </c>
      <c r="H40" s="44">
        <f>_xlfn.XLOOKUP($B40,Overview_Report!$B:$B,Overview_Report!H:H)</f>
        <v>33516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</row>
    <row r="41" spans="1:22" x14ac:dyDescent="0.25">
      <c r="B41" t="s">
        <v>79</v>
      </c>
      <c r="C41" s="44">
        <f>_xlfn.XLOOKUP($B41,Overview_Report!$B:$B,Overview_Report!C:C)</f>
        <v>10830</v>
      </c>
      <c r="D41" s="44">
        <f>_xlfn.XLOOKUP($B41,Overview_Report!$B:$B,Overview_Report!D:D)</f>
        <v>10830</v>
      </c>
      <c r="E41" s="44">
        <f>_xlfn.XLOOKUP($B41,Overview_Report!$B:$B,Overview_Report!E:E)</f>
        <v>10830</v>
      </c>
      <c r="F41" s="44">
        <f>_xlfn.XLOOKUP($B41,Overview_Report!$B:$B,Overview_Report!F:F)</f>
        <v>10830</v>
      </c>
      <c r="G41" s="44">
        <f>_xlfn.XLOOKUP($B41,Overview_Report!$B:$B,Overview_Report!G:G)</f>
        <v>10830</v>
      </c>
      <c r="H41" s="44">
        <f>_xlfn.XLOOKUP($B41,Overview_Report!$B:$B,Overview_Report!H:H)</f>
        <v>10830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</row>
    <row r="42" spans="1:22" x14ac:dyDescent="0.25">
      <c r="A42" s="77" t="s">
        <v>31</v>
      </c>
      <c r="B42" s="87" t="s">
        <v>24</v>
      </c>
      <c r="C42" s="44">
        <f>_xlfn.XLOOKUP($B42,Overview_Report!$B:$B,Overview_Report!C:C)</f>
        <v>148897</v>
      </c>
      <c r="D42" s="44">
        <f>_xlfn.XLOOKUP($B42,Overview_Report!$B:$B,Overview_Report!D:D)</f>
        <v>143924</v>
      </c>
      <c r="E42" s="44">
        <f>_xlfn.XLOOKUP($B42,Overview_Report!$B:$B,Overview_Report!E:E)</f>
        <v>142737</v>
      </c>
      <c r="F42" s="44">
        <f>_xlfn.XLOOKUP($B42,Overview_Report!$B:$B,Overview_Report!F:F)</f>
        <v>147818</v>
      </c>
      <c r="G42" s="44">
        <f>_xlfn.XLOOKUP($B42,Overview_Report!$B:$B,Overview_Report!G:G)</f>
        <v>145588</v>
      </c>
      <c r="H42" s="44">
        <f>_xlfn.XLOOKUP($B42,Overview_Report!$B:$B,Overview_Report!H:H)</f>
        <v>143845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 spans="1:22" x14ac:dyDescent="0.25">
      <c r="A43" s="76" t="s">
        <v>50</v>
      </c>
      <c r="B43" t="s">
        <v>25</v>
      </c>
      <c r="C43" s="44">
        <f>_xlfn.XLOOKUP($B43,Overview_Report!$B:$B,Overview_Report!C:C)</f>
        <v>125185</v>
      </c>
      <c r="D43" s="44">
        <f>_xlfn.XLOOKUP($B43,Overview_Report!$B:$B,Overview_Report!D:D)</f>
        <v>122834</v>
      </c>
      <c r="E43" s="44">
        <f>_xlfn.XLOOKUP($B43,Overview_Report!$B:$B,Overview_Report!E:E)</f>
        <v>121419</v>
      </c>
      <c r="F43" s="44">
        <f>_xlfn.XLOOKUP($B43,Overview_Report!$B:$B,Overview_Report!F:F)</f>
        <v>118919</v>
      </c>
      <c r="G43" s="44">
        <f>_xlfn.XLOOKUP($B43,Overview_Report!$B:$B,Overview_Report!G:G)</f>
        <v>113098</v>
      </c>
      <c r="H43" s="44">
        <f>_xlfn.XLOOKUP($B43,Overview_Report!$B:$B,Overview_Report!H:H)</f>
        <v>110329</v>
      </c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</row>
    <row r="44" spans="1:22" x14ac:dyDescent="0.25">
      <c r="A44" s="1" t="s">
        <v>45</v>
      </c>
      <c r="B44" s="88" t="s">
        <v>26</v>
      </c>
      <c r="C44" s="44">
        <f>_xlfn.XLOOKUP($B44,Overview_Report!$B:$B,Overview_Report!C:C)</f>
        <v>193785.35</v>
      </c>
      <c r="D44" s="44">
        <f>_xlfn.XLOOKUP($B44,Overview_Report!$B:$B,Overview_Report!D:D)</f>
        <v>193785.35</v>
      </c>
      <c r="E44" s="44">
        <f>_xlfn.XLOOKUP($B44,Overview_Report!$B:$B,Overview_Report!E:E)</f>
        <v>193785.35</v>
      </c>
      <c r="F44" s="44">
        <f>_xlfn.XLOOKUP($B44,Overview_Report!$B:$B,Overview_Report!F:F)</f>
        <v>193785.35</v>
      </c>
      <c r="G44" s="44">
        <f>_xlfn.XLOOKUP($B44,Overview_Report!$B:$B,Overview_Report!G:G)</f>
        <v>193785.35</v>
      </c>
      <c r="H44" s="44">
        <f>_xlfn.XLOOKUP($B44,Overview_Report!$B:$B,Overview_Report!H:H)</f>
        <v>193785.35</v>
      </c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</row>
    <row r="45" spans="1:22" x14ac:dyDescent="0.25">
      <c r="B45" t="s">
        <v>27</v>
      </c>
      <c r="C45" s="44">
        <f>_xlfn.XLOOKUP($B45,Overview_Report!$B:$B,Overview_Report!C:C)</f>
        <v>0.64599826560676543</v>
      </c>
      <c r="D45" s="44">
        <f>_xlfn.XLOOKUP($B45,Overview_Report!$B:$B,Overview_Report!D:D)</f>
        <v>0.63386628555770597</v>
      </c>
      <c r="E45" s="44">
        <f>_xlfn.XLOOKUP($B45,Overview_Report!$B:$B,Overview_Report!E:E)</f>
        <v>0.62656439199351244</v>
      </c>
      <c r="F45" s="44">
        <f>_xlfn.XLOOKUP($B45,Overview_Report!$B:$B,Overview_Report!F:F)</f>
        <v>0.613663519971969</v>
      </c>
      <c r="G45" s="44">
        <f>_xlfn.XLOOKUP($B45,Overview_Report!$B:$B,Overview_Report!G:G)</f>
        <v>0.58362512955700729</v>
      </c>
      <c r="H45" s="44">
        <f>_xlfn.XLOOKUP($B45,Overview_Report!$B:$B,Overview_Report!H:H)</f>
        <v>0.56933612370594577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 spans="1:22" x14ac:dyDescent="0.25">
      <c r="B46" s="83" t="s">
        <v>28</v>
      </c>
      <c r="C46" s="44">
        <f>_xlfn.XLOOKUP($B46,Overview_Report!$B:$B,Overview_Report!C:C)</f>
        <v>0</v>
      </c>
      <c r="D46" s="44">
        <f>_xlfn.XLOOKUP($B46,Overview_Report!$B:$B,Overview_Report!D:D)</f>
        <v>0</v>
      </c>
      <c r="E46" s="44">
        <f>_xlfn.XLOOKUP($B46,Overview_Report!$B:$B,Overview_Report!E:E)</f>
        <v>0</v>
      </c>
      <c r="F46" s="44">
        <f>_xlfn.XLOOKUP($B46,Overview_Report!$B:$B,Overview_Report!F:F)</f>
        <v>0</v>
      </c>
      <c r="G46" s="44">
        <f>_xlfn.XLOOKUP($B46,Overview_Report!$B:$B,Overview_Report!G:G)</f>
        <v>0</v>
      </c>
      <c r="H46" s="44">
        <f>_xlfn.XLOOKUP($B46,Overview_Report!$B:$B,Overview_Report!H:H)</f>
        <v>0</v>
      </c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</row>
    <row r="47" spans="1:22" x14ac:dyDescent="0.25">
      <c r="B47" s="87" t="s">
        <v>29</v>
      </c>
      <c r="C47" s="44">
        <f>_xlfn.XLOOKUP($B47,Overview_Report!$B:$B,Overview_Report!C:C)</f>
        <v>0</v>
      </c>
      <c r="D47" s="44">
        <f>_xlfn.XLOOKUP($B47,Overview_Report!$B:$B,Overview_Report!D:D)</f>
        <v>0</v>
      </c>
      <c r="E47" s="44">
        <f>_xlfn.XLOOKUP($B47,Overview_Report!$B:$B,Overview_Report!E:E)</f>
        <v>0</v>
      </c>
      <c r="F47" s="44">
        <f>_xlfn.XLOOKUP($B47,Overview_Report!$B:$B,Overview_Report!F:F)</f>
        <v>0</v>
      </c>
      <c r="G47" s="44">
        <f>_xlfn.XLOOKUP($B47,Overview_Report!$B:$B,Overview_Report!G:G)</f>
        <v>0</v>
      </c>
      <c r="H47" s="44">
        <f>_xlfn.XLOOKUP($B47,Overview_Report!$B:$B,Overview_Report!H:H)</f>
        <v>0</v>
      </c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</row>
    <row r="48" spans="1:22" x14ac:dyDescent="0.25">
      <c r="B48" t="s">
        <v>30</v>
      </c>
      <c r="C48" s="44">
        <f>_xlfn.XLOOKUP($B48,Overview_Report!$B:$B,Overview_Report!C:C)</f>
        <v>0</v>
      </c>
      <c r="D48" s="44">
        <f>_xlfn.XLOOKUP($B48,Overview_Report!$B:$B,Overview_Report!D:D)</f>
        <v>0</v>
      </c>
      <c r="E48" s="44">
        <f>_xlfn.XLOOKUP($B48,Overview_Report!$B:$B,Overview_Report!E:E)</f>
        <v>0</v>
      </c>
      <c r="F48" s="44">
        <f>_xlfn.XLOOKUP($B48,Overview_Report!$B:$B,Overview_Report!F:F)</f>
        <v>0</v>
      </c>
      <c r="G48" s="44">
        <f>_xlfn.XLOOKUP($B48,Overview_Report!$B:$B,Overview_Report!G:G)</f>
        <v>0</v>
      </c>
      <c r="H48" s="44">
        <f>_xlfn.XLOOKUP($B48,Overview_Report!$B:$B,Overview_Report!H:H)</f>
        <v>0</v>
      </c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</row>
    <row r="49" spans="2:22" x14ac:dyDescent="0.25">
      <c r="B49" t="s">
        <v>31</v>
      </c>
      <c r="C49" s="44">
        <f>_xlfn.XLOOKUP($B49,Overview_Report!$B:$B,Overview_Report!C:C)</f>
        <v>193785.35</v>
      </c>
      <c r="D49" s="44">
        <f>_xlfn.XLOOKUP($B49,Overview_Report!$B:$B,Overview_Report!D:D)</f>
        <v>193785.35</v>
      </c>
      <c r="E49" s="44">
        <f>_xlfn.XLOOKUP($B49,Overview_Report!$B:$B,Overview_Report!E:E)</f>
        <v>193785.35</v>
      </c>
      <c r="F49" s="44">
        <f>_xlfn.XLOOKUP($B49,Overview_Report!$B:$B,Overview_Report!F:F)</f>
        <v>193785.35</v>
      </c>
      <c r="G49" s="44">
        <f>_xlfn.XLOOKUP($B49,Overview_Report!$B:$B,Overview_Report!G:G)</f>
        <v>193785.35</v>
      </c>
      <c r="H49" s="44">
        <f>_xlfn.XLOOKUP($B49,Overview_Report!$B:$B,Overview_Report!H:H)</f>
        <v>193785.35</v>
      </c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</row>
    <row r="50" spans="2:22" x14ac:dyDescent="0.25">
      <c r="B50" t="s">
        <v>32</v>
      </c>
      <c r="C50" s="44">
        <f>_xlfn.XLOOKUP($B50,Overview_Report!$B:$B,Overview_Report!C:C)</f>
        <v>0.64599826560676543</v>
      </c>
      <c r="D50" s="44">
        <f>_xlfn.XLOOKUP($B50,Overview_Report!$B:$B,Overview_Report!D:D)</f>
        <v>0.63386628555770597</v>
      </c>
      <c r="E50" s="44">
        <f>_xlfn.XLOOKUP($B50,Overview_Report!$B:$B,Overview_Report!E:E)</f>
        <v>0.62656439199351244</v>
      </c>
      <c r="F50" s="44">
        <f>_xlfn.XLOOKUP($B50,Overview_Report!$B:$B,Overview_Report!F:F)</f>
        <v>0.613663519971969</v>
      </c>
      <c r="G50" s="44">
        <f>_xlfn.XLOOKUP($B50,Overview_Report!$B:$B,Overview_Report!G:G)</f>
        <v>0.58362512955700729</v>
      </c>
      <c r="H50" s="44">
        <f>_xlfn.XLOOKUP($B50,Overview_Report!$B:$B,Overview_Report!H:H)</f>
        <v>0.56933612370594577</v>
      </c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</row>
    <row r="51" spans="2:22" x14ac:dyDescent="0.25">
      <c r="B51" t="s">
        <v>80</v>
      </c>
      <c r="C51" s="44">
        <f>_xlfn.XLOOKUP($B51,Overview_Report!$B:$B,Overview_Report!C:C)</f>
        <v>0.72769222836898595</v>
      </c>
      <c r="D51" s="44">
        <f>_xlfn.XLOOKUP($B51,Overview_Report!$B:$B,Overview_Report!D:D)</f>
        <v>0.70338808891903759</v>
      </c>
      <c r="E51" s="44">
        <f>_xlfn.XLOOKUP($B51,Overview_Report!$B:$B,Overview_Report!E:E)</f>
        <v>0.69758696011809473</v>
      </c>
      <c r="F51" s="44">
        <f>_xlfn.XLOOKUP($B51,Overview_Report!$B:$B,Overview_Report!F:F)</f>
        <v>0.72241891920620815</v>
      </c>
      <c r="G51" s="44">
        <f>_xlfn.XLOOKUP($B51,Overview_Report!$B:$B,Overview_Report!G:G)</f>
        <v>0.71152042112187575</v>
      </c>
      <c r="H51" s="44">
        <f>_xlfn.XLOOKUP($B51,Overview_Report!$B:$B,Overview_Report!H:H)</f>
        <v>0.7030019986281576</v>
      </c>
    </row>
    <row r="53" spans="2:22" x14ac:dyDescent="0.25">
      <c r="B53" s="87" t="s">
        <v>22</v>
      </c>
    </row>
  </sheetData>
  <mergeCells count="1">
    <mergeCell ref="C2:H2"/>
  </mergeCells>
  <pageMargins left="0.7" right="0.7" top="0.75" bottom="0.75" header="0.3" footer="0.3"/>
  <headerFooter>
    <oddFooter>&amp;C_x000D_&amp;1#&amp;"Noto IKEA Latin"&amp;8&amp;K5A5A5A Internal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H51"/>
  <sheetViews>
    <sheetView topLeftCell="C24" zoomScale="90" zoomScaleNormal="90" workbookViewId="0">
      <selection activeCell="I39" sqref="I39:AH51"/>
    </sheetView>
  </sheetViews>
  <sheetFormatPr defaultColWidth="9.140625" defaultRowHeight="15" x14ac:dyDescent="0.25"/>
  <cols>
    <col min="1" max="1" width="28.5703125" hidden="1" customWidth="1"/>
    <col min="2" max="2" width="43.5703125" customWidth="1"/>
    <col min="3" max="8" width="7.7109375" customWidth="1"/>
    <col min="9" max="20" width="8.85546875" customWidth="1"/>
    <col min="22" max="22" width="8" customWidth="1"/>
  </cols>
  <sheetData>
    <row r="2" spans="1:34" x14ac:dyDescent="0.25">
      <c r="C2" s="174" t="s">
        <v>51</v>
      </c>
      <c r="D2" s="174"/>
      <c r="E2" s="174"/>
      <c r="F2" s="174"/>
      <c r="G2" s="174"/>
      <c r="H2" s="176"/>
    </row>
    <row r="3" spans="1:34" x14ac:dyDescent="0.25">
      <c r="C3" t="str">
        <f>'Act Data Set'!C3</f>
        <v>Actuals</v>
      </c>
      <c r="D3" s="114">
        <f>'Act Data Set'!D3</f>
        <v>0</v>
      </c>
      <c r="E3" s="114">
        <f>'Act Data Set'!E3</f>
        <v>0</v>
      </c>
      <c r="F3" s="114">
        <f>'Act Data Set'!F3</f>
        <v>0</v>
      </c>
      <c r="G3" s="114">
        <f>'Act Data Set'!G3</f>
        <v>0</v>
      </c>
      <c r="H3" s="114">
        <f>'Act Data Set'!H3</f>
        <v>0</v>
      </c>
      <c r="I3" t="str">
        <f>Overview_Report!I3</f>
        <v>Forecast</v>
      </c>
      <c r="J3" s="114">
        <f>Overview_Report!J3</f>
        <v>0</v>
      </c>
      <c r="K3" s="114">
        <f>Overview_Report!K3</f>
        <v>0</v>
      </c>
      <c r="L3" s="114">
        <f>Overview_Report!L3</f>
        <v>0</v>
      </c>
      <c r="M3" s="114">
        <f>Overview_Report!M3</f>
        <v>0</v>
      </c>
      <c r="N3" s="114">
        <f>Overview_Report!N3</f>
        <v>0</v>
      </c>
      <c r="O3" s="114">
        <f>Overview_Report!O3</f>
        <v>0</v>
      </c>
      <c r="P3" s="114">
        <f>Overview_Report!P3</f>
        <v>0</v>
      </c>
      <c r="Q3" s="114">
        <f>Overview_Report!Q3</f>
        <v>0</v>
      </c>
      <c r="R3" s="114">
        <f>Overview_Report!R3</f>
        <v>0</v>
      </c>
      <c r="S3" s="114">
        <f>Overview_Report!S3</f>
        <v>0</v>
      </c>
      <c r="T3" s="114">
        <f>Overview_Report!T3</f>
        <v>0</v>
      </c>
    </row>
    <row r="4" spans="1:34" x14ac:dyDescent="0.25">
      <c r="C4">
        <f>'Act Data Set'!C4</f>
        <v>0</v>
      </c>
      <c r="D4">
        <f>'Act Data Set'!D4</f>
        <v>0</v>
      </c>
      <c r="E4">
        <f>'Act Data Set'!E4</f>
        <v>0</v>
      </c>
      <c r="F4">
        <f>'Act Data Set'!F4</f>
        <v>0</v>
      </c>
      <c r="G4">
        <f>'Act Data Set'!G4</f>
        <v>0</v>
      </c>
      <c r="H4">
        <f>'Act Data Set'!H4</f>
        <v>0</v>
      </c>
      <c r="I4">
        <f>Overview_Report!I4</f>
        <v>0</v>
      </c>
      <c r="J4">
        <f>Overview_Report!J4</f>
        <v>0</v>
      </c>
      <c r="K4">
        <f>Overview_Report!K4</f>
        <v>0</v>
      </c>
      <c r="L4">
        <f>Overview_Report!L4</f>
        <v>0</v>
      </c>
      <c r="M4">
        <f>Overview_Report!M4</f>
        <v>0</v>
      </c>
      <c r="N4">
        <f>Overview_Report!N4</f>
        <v>0</v>
      </c>
      <c r="O4">
        <f>Overview_Report!O4</f>
        <v>0</v>
      </c>
      <c r="P4">
        <f>Overview_Report!P4</f>
        <v>0</v>
      </c>
      <c r="Q4">
        <f>Overview_Report!Q4</f>
        <v>0</v>
      </c>
      <c r="R4">
        <f>Overview_Report!R4</f>
        <v>0</v>
      </c>
      <c r="S4">
        <f>Overview_Report!S4</f>
        <v>0</v>
      </c>
      <c r="T4">
        <f>Overview_Report!T4</f>
        <v>0</v>
      </c>
      <c r="U4">
        <f>Overview_Report!U4</f>
        <v>0</v>
      </c>
      <c r="V4">
        <f>Overview_Report!V4</f>
        <v>0</v>
      </c>
      <c r="W4">
        <f>Overview_Report!W4</f>
        <v>0</v>
      </c>
      <c r="X4">
        <f>Overview_Report!X4</f>
        <v>0</v>
      </c>
      <c r="Y4">
        <f>Overview_Report!Y4</f>
        <v>0</v>
      </c>
      <c r="Z4">
        <f>Overview_Report!Z4</f>
        <v>0</v>
      </c>
      <c r="AA4">
        <f>Overview_Report!AA4</f>
        <v>0</v>
      </c>
      <c r="AB4">
        <f>Overview_Report!AB4</f>
        <v>0</v>
      </c>
      <c r="AC4">
        <f>Overview_Report!AC4</f>
        <v>0</v>
      </c>
      <c r="AD4">
        <f>Overview_Report!AD4</f>
        <v>0</v>
      </c>
      <c r="AE4">
        <f>Overview_Report!AE4</f>
        <v>0</v>
      </c>
      <c r="AF4">
        <f>Overview_Report!AF4</f>
        <v>0</v>
      </c>
      <c r="AG4">
        <f>Overview_Report!AG4</f>
        <v>0</v>
      </c>
      <c r="AH4">
        <f>Overview_Report!AH4</f>
        <v>0</v>
      </c>
    </row>
    <row r="5" spans="1:34" x14ac:dyDescent="0.25">
      <c r="B5" s="79"/>
      <c r="C5" s="79" t="str">
        <f>'Act Data Set'!C5</f>
        <v>202631</v>
      </c>
      <c r="D5" s="79" t="str">
        <f>'Act Data Set'!D5</f>
        <v>202632</v>
      </c>
      <c r="E5" s="79" t="str">
        <f>'Act Data Set'!E5</f>
        <v>202633</v>
      </c>
      <c r="F5" s="79" t="str">
        <f>'Act Data Set'!F5</f>
        <v>202634</v>
      </c>
      <c r="G5" s="79" t="str">
        <f>'Act Data Set'!G5</f>
        <v>202635</v>
      </c>
      <c r="H5" s="79" t="str">
        <f>'Act Data Set'!H5</f>
        <v>202636</v>
      </c>
      <c r="I5" s="79" t="str">
        <f>Overview_Report!I5</f>
        <v>202637</v>
      </c>
      <c r="J5" s="79" t="str">
        <f>Overview_Report!J5</f>
        <v>202638</v>
      </c>
      <c r="K5" s="79" t="str">
        <f>Overview_Report!K5</f>
        <v>202639</v>
      </c>
      <c r="L5" s="79" t="str">
        <f>Overview_Report!L5</f>
        <v>202640</v>
      </c>
      <c r="M5" s="79" t="str">
        <f>Overview_Report!M5</f>
        <v>202641</v>
      </c>
      <c r="N5" s="79" t="str">
        <f>Overview_Report!N5</f>
        <v>202642</v>
      </c>
      <c r="O5" s="79" t="str">
        <f>Overview_Report!O5</f>
        <v>202643</v>
      </c>
      <c r="P5" s="79" t="str">
        <f>Overview_Report!P5</f>
        <v>202644</v>
      </c>
      <c r="Q5" s="79" t="str">
        <f>Overview_Report!Q5</f>
        <v>202645</v>
      </c>
      <c r="R5" s="79" t="str">
        <f>Overview_Report!R5</f>
        <v>202646</v>
      </c>
      <c r="S5" s="79" t="str">
        <f>Overview_Report!S5</f>
        <v>202647</v>
      </c>
      <c r="T5" s="79" t="str">
        <f>Overview_Report!T5</f>
        <v>202648</v>
      </c>
      <c r="U5" s="79" t="str">
        <f>Overview_Report!U5</f>
        <v>202649</v>
      </c>
      <c r="V5" s="79" t="str">
        <f>Overview_Report!V5</f>
        <v>202650</v>
      </c>
      <c r="W5" s="79" t="str">
        <f>Overview_Report!W5</f>
        <v>202651</v>
      </c>
      <c r="X5" s="79" t="str">
        <f>Overview_Report!X5</f>
        <v>202652</v>
      </c>
      <c r="Y5" s="79" t="str">
        <f>Overview_Report!Y5</f>
        <v>202653</v>
      </c>
      <c r="Z5" s="79" t="str">
        <f>Overview_Report!Z5</f>
        <v>202701</v>
      </c>
      <c r="AA5" s="79" t="str">
        <f>Overview_Report!AA5</f>
        <v>202702</v>
      </c>
      <c r="AB5" s="79" t="str">
        <f>Overview_Report!AB5</f>
        <v>202703</v>
      </c>
      <c r="AC5" s="79" t="str">
        <f>Overview_Report!AC5</f>
        <v>202704</v>
      </c>
      <c r="AD5" s="79" t="str">
        <f>Overview_Report!AD5</f>
        <v>202705</v>
      </c>
      <c r="AE5" s="79" t="str">
        <f>Overview_Report!AE5</f>
        <v>202706</v>
      </c>
      <c r="AF5" s="79" t="str">
        <f>Overview_Report!AF5</f>
        <v>202707</v>
      </c>
      <c r="AG5" s="79" t="str">
        <f>Overview_Report!AG5</f>
        <v>202708</v>
      </c>
      <c r="AH5" s="79" t="str">
        <f>Overview_Report!AH5</f>
        <v>202709</v>
      </c>
    </row>
    <row r="6" spans="1:34" x14ac:dyDescent="0.25">
      <c r="B6" t="s">
        <v>0</v>
      </c>
      <c r="C6" s="89"/>
      <c r="D6" s="89"/>
      <c r="E6" s="89"/>
      <c r="F6" s="89"/>
      <c r="G6" s="89"/>
      <c r="H6" s="89"/>
      <c r="I6" s="44">
        <f>_xlfn.XLOOKUP($B6,Overview_Report!$B:$B,Overview_Report!I:I)</f>
        <v>14672.400283450001</v>
      </c>
      <c r="J6" s="44">
        <f>_xlfn.XLOOKUP($B6,Overview_Report!$B:$B,Overview_Report!J:J)</f>
        <v>15349.05772423879</v>
      </c>
      <c r="K6" s="44">
        <f>_xlfn.XLOOKUP($B6,Overview_Report!$B:$B,Overview_Report!K:K)</f>
        <v>14353.114115378627</v>
      </c>
      <c r="L6" s="44">
        <f>_xlfn.XLOOKUP($B6,Overview_Report!$B:$B,Overview_Report!L:L)</f>
        <v>14978.464439622458</v>
      </c>
      <c r="M6" s="44">
        <f>_xlfn.XLOOKUP($B6,Overview_Report!$B:$B,Overview_Report!M:M)</f>
        <v>15395.956954059664</v>
      </c>
      <c r="N6" s="44">
        <f>_xlfn.XLOOKUP($B6,Overview_Report!$B:$B,Overview_Report!N:N)</f>
        <v>15299.084965866681</v>
      </c>
      <c r="O6" s="44">
        <f>_xlfn.XLOOKUP($B6,Overview_Report!$B:$B,Overview_Report!O:O)</f>
        <v>13189.965081678058</v>
      </c>
      <c r="P6" s="44">
        <f>_xlfn.XLOOKUP($B6,Overview_Report!$B:$B,Overview_Report!P:P)</f>
        <v>13246.090074756807</v>
      </c>
      <c r="Q6" s="44">
        <f>_xlfn.XLOOKUP($B6,Overview_Report!$B:$B,Overview_Report!Q:Q)</f>
        <v>11270.433384224656</v>
      </c>
      <c r="R6" s="44">
        <f>_xlfn.XLOOKUP($B6,Overview_Report!$B:$B,Overview_Report!R:R)</f>
        <v>13347.992601662298</v>
      </c>
      <c r="S6" s="44">
        <f>_xlfn.XLOOKUP($B6,Overview_Report!$B:$B,Overview_Report!S:S)</f>
        <v>9557.7071572705645</v>
      </c>
      <c r="T6" s="44">
        <f>_xlfn.XLOOKUP($B6,Overview_Report!$B:$B,Overview_Report!T:T)</f>
        <v>9005.6084723712429</v>
      </c>
      <c r="U6" s="44">
        <f>_xlfn.XLOOKUP($B6,Overview_Report!$B:$B,Overview_Report!U:U)</f>
        <v>10459.950423392678</v>
      </c>
      <c r="V6" s="44">
        <f>_xlfn.XLOOKUP($B6,Overview_Report!$B:$B,Overview_Report!V:V)</f>
        <v>12415.626405312534</v>
      </c>
      <c r="W6" s="44">
        <f>_xlfn.XLOOKUP($B6,Overview_Report!$B:$B,Overview_Report!W:W)</f>
        <v>12021.141149145484</v>
      </c>
      <c r="X6" s="44">
        <f>_xlfn.XLOOKUP($B6,Overview_Report!$B:$B,Overview_Report!X:X)</f>
        <v>12413.763077752263</v>
      </c>
      <c r="Y6" s="44">
        <f>_xlfn.XLOOKUP($B6,Overview_Report!$B:$B,Overview_Report!Y:Y)</f>
        <v>12822.596300086119</v>
      </c>
      <c r="Z6" s="44">
        <f>_xlfn.XLOOKUP($B6,Overview_Report!$B:$B,Overview_Report!Z:Z)</f>
        <v>13275.147704868352</v>
      </c>
      <c r="AA6" s="44">
        <f>_xlfn.XLOOKUP($B6,Overview_Report!$B:$B,Overview_Report!AA:AA)</f>
        <v>11291.124434748028</v>
      </c>
      <c r="AB6" s="44">
        <f>_xlfn.XLOOKUP($B6,Overview_Report!$B:$B,Overview_Report!AB:AB)</f>
        <v>10589.557039204816</v>
      </c>
      <c r="AC6" s="44">
        <f>_xlfn.XLOOKUP($B6,Overview_Report!$B:$B,Overview_Report!AC:AC)</f>
        <v>11731.237255467211</v>
      </c>
      <c r="AD6" s="44">
        <f>_xlfn.XLOOKUP($B6,Overview_Report!$B:$B,Overview_Report!AD:AD)</f>
        <v>14005.410121438706</v>
      </c>
      <c r="AE6" s="44">
        <f>_xlfn.XLOOKUP($B6,Overview_Report!$B:$B,Overview_Report!AE:AE)</f>
        <v>13519.746505772277</v>
      </c>
      <c r="AF6" s="44">
        <f>_xlfn.XLOOKUP($B6,Overview_Report!$B:$B,Overview_Report!AF:AF)</f>
        <v>12613.553091539012</v>
      </c>
      <c r="AG6" s="44">
        <f>_xlfn.XLOOKUP($B6,Overview_Report!$B:$B,Overview_Report!AG:AG)</f>
        <v>13414.413512573394</v>
      </c>
      <c r="AH6" s="44">
        <f>_xlfn.XLOOKUP($B6,Overview_Report!$B:$B,Overview_Report!AH:AH)</f>
        <v>12304.597055613463</v>
      </c>
    </row>
    <row r="7" spans="1:34" x14ac:dyDescent="0.25">
      <c r="A7" s="2" t="s">
        <v>33</v>
      </c>
      <c r="B7" s="80" t="s">
        <v>2</v>
      </c>
      <c r="C7" s="89"/>
      <c r="D7" s="89"/>
      <c r="E7" s="89"/>
      <c r="F7" s="89"/>
      <c r="G7" s="89"/>
      <c r="H7" s="89"/>
      <c r="I7" s="80">
        <f>_xlfn.XLOOKUP($B7,Overview_Report!$B:$B,Overview_Report!I:I)</f>
        <v>10691.360499999997</v>
      </c>
      <c r="J7" s="80">
        <f>_xlfn.XLOOKUP($B7,Overview_Report!$B:$B,Overview_Report!J:J)</f>
        <v>12591.411881412061</v>
      </c>
      <c r="K7" s="80">
        <f>_xlfn.XLOOKUP($B7,Overview_Report!$B:$B,Overview_Report!K:K)</f>
        <v>9816.422723261705</v>
      </c>
      <c r="L7" s="80">
        <f>_xlfn.XLOOKUP($B7,Overview_Report!$B:$B,Overview_Report!L:L)</f>
        <v>11558.830982508942</v>
      </c>
      <c r="M7" s="80">
        <f>_xlfn.XLOOKUP($B7,Overview_Report!$B:$B,Overview_Report!M:M)</f>
        <v>12722.086804289949</v>
      </c>
      <c r="N7" s="80">
        <f>_xlfn.XLOOKUP($B7,Overview_Report!$B:$B,Overview_Report!N:N)</f>
        <v>12452.173212222573</v>
      </c>
      <c r="O7" s="80">
        <f>_xlfn.XLOOKUP($B7,Overview_Report!$B:$B,Overview_Report!O:O)</f>
        <v>10719.757460599054</v>
      </c>
      <c r="P7" s="80">
        <f>_xlfn.XLOOKUP($B7,Overview_Report!$B:$B,Overview_Report!P:P)</f>
        <v>13246.090074756803</v>
      </c>
      <c r="Q7" s="80">
        <f>_xlfn.XLOOKUP($B7,Overview_Report!$B:$B,Overview_Report!Q:Q)</f>
        <v>11270.433384224656</v>
      </c>
      <c r="R7" s="80">
        <f>_xlfn.XLOOKUP($B7,Overview_Report!$B:$B,Overview_Report!R:R)</f>
        <v>13347.992601662299</v>
      </c>
      <c r="S7" s="80">
        <f>_xlfn.XLOOKUP($B7,Overview_Report!$B:$B,Overview_Report!S:S)</f>
        <v>9557.7071572705609</v>
      </c>
      <c r="T7" s="80">
        <f>_xlfn.XLOOKUP($B7,Overview_Report!$B:$B,Overview_Report!T:T)</f>
        <v>9005.6084723712429</v>
      </c>
      <c r="U7" s="80">
        <f>_xlfn.XLOOKUP($B7,Overview_Report!$B:$B,Overview_Report!U:U)</f>
        <v>10459.950423392678</v>
      </c>
      <c r="V7" s="80">
        <f>_xlfn.XLOOKUP($B7,Overview_Report!$B:$B,Overview_Report!V:V)</f>
        <v>12415.626405312536</v>
      </c>
      <c r="W7" s="80">
        <f>_xlfn.XLOOKUP($B7,Overview_Report!$B:$B,Overview_Report!W:W)</f>
        <v>12021.141149145486</v>
      </c>
      <c r="X7" s="80">
        <f>_xlfn.XLOOKUP($B7,Overview_Report!$B:$B,Overview_Report!X:X)</f>
        <v>12413.763077752263</v>
      </c>
      <c r="Y7" s="80">
        <f>_xlfn.XLOOKUP($B7,Overview_Report!$B:$B,Overview_Report!Y:Y)</f>
        <v>12822.596300086117</v>
      </c>
      <c r="Z7" s="80">
        <f>_xlfn.XLOOKUP($B7,Overview_Report!$B:$B,Overview_Report!Z:Z)</f>
        <v>13275.147704868352</v>
      </c>
      <c r="AA7" s="80">
        <f>_xlfn.XLOOKUP($B7,Overview_Report!$B:$B,Overview_Report!AA:AA)</f>
        <v>11291.12443474803</v>
      </c>
      <c r="AB7" s="80">
        <f>_xlfn.XLOOKUP($B7,Overview_Report!$B:$B,Overview_Report!AB:AB)</f>
        <v>10589.557039204816</v>
      </c>
      <c r="AC7" s="80">
        <f>_xlfn.XLOOKUP($B7,Overview_Report!$B:$B,Overview_Report!AC:AC)</f>
        <v>11731.237255467207</v>
      </c>
      <c r="AD7" s="80">
        <f>_xlfn.XLOOKUP($B7,Overview_Report!$B:$B,Overview_Report!AD:AD)</f>
        <v>14005.410121438706</v>
      </c>
      <c r="AE7" s="80">
        <f>_xlfn.XLOOKUP($B7,Overview_Report!$B:$B,Overview_Report!AE:AE)</f>
        <v>13519.746505772275</v>
      </c>
      <c r="AF7" s="80">
        <f>_xlfn.XLOOKUP($B7,Overview_Report!$B:$B,Overview_Report!AF:AF)</f>
        <v>12613.55309153901</v>
      </c>
      <c r="AG7" s="80">
        <f>_xlfn.XLOOKUP($B7,Overview_Report!$B:$B,Overview_Report!AG:AG)</f>
        <v>13414.413512573394</v>
      </c>
      <c r="AH7" s="80">
        <f>_xlfn.XLOOKUP($B7,Overview_Report!$B:$B,Overview_Report!AH:AH)</f>
        <v>12304.597055613463</v>
      </c>
    </row>
    <row r="8" spans="1:34" x14ac:dyDescent="0.25">
      <c r="A8" s="2" t="s">
        <v>35</v>
      </c>
      <c r="B8" s="80" t="s">
        <v>1</v>
      </c>
      <c r="C8" s="89"/>
      <c r="D8" s="89"/>
      <c r="E8" s="89"/>
      <c r="F8" s="89"/>
      <c r="G8" s="89"/>
      <c r="H8" s="89"/>
      <c r="I8" s="80">
        <f>_xlfn.XLOOKUP($B8,Overview_Report!$B:$B,Overview_Report!I:I)</f>
        <v>5.2709999999999999</v>
      </c>
      <c r="J8" s="80">
        <f>_xlfn.XLOOKUP($B8,Overview_Report!$B:$B,Overview_Report!J:J)</f>
        <v>0</v>
      </c>
      <c r="K8" s="80">
        <f>_xlfn.XLOOKUP($B8,Overview_Report!$B:$B,Overview_Report!K:K)</f>
        <v>0</v>
      </c>
      <c r="L8" s="80">
        <f>_xlfn.XLOOKUP($B8,Overview_Report!$B:$B,Overview_Report!L:L)</f>
        <v>0</v>
      </c>
      <c r="M8" s="80">
        <f>_xlfn.XLOOKUP($B8,Overview_Report!$B:$B,Overview_Report!M:M)</f>
        <v>0</v>
      </c>
      <c r="N8" s="80">
        <f>_xlfn.XLOOKUP($B8,Overview_Report!$B:$B,Overview_Report!N:N)</f>
        <v>0</v>
      </c>
      <c r="O8" s="80">
        <f>_xlfn.XLOOKUP($B8,Overview_Report!$B:$B,Overview_Report!O:O)</f>
        <v>0</v>
      </c>
      <c r="P8" s="80">
        <f>_xlfn.XLOOKUP($B8,Overview_Report!$B:$B,Overview_Report!P:P)</f>
        <v>0</v>
      </c>
      <c r="Q8" s="80">
        <f>_xlfn.XLOOKUP($B8,Overview_Report!$B:$B,Overview_Report!Q:Q)</f>
        <v>0</v>
      </c>
      <c r="R8" s="80">
        <f>_xlfn.XLOOKUP($B8,Overview_Report!$B:$B,Overview_Report!R:R)</f>
        <v>0</v>
      </c>
      <c r="S8" s="80">
        <f>_xlfn.XLOOKUP($B8,Overview_Report!$B:$B,Overview_Report!S:S)</f>
        <v>0</v>
      </c>
      <c r="T8" s="80">
        <f>_xlfn.XLOOKUP($B8,Overview_Report!$B:$B,Overview_Report!T:T)</f>
        <v>0</v>
      </c>
      <c r="U8" s="80">
        <f>_xlfn.XLOOKUP($B8,Overview_Report!$B:$B,Overview_Report!U:U)</f>
        <v>0</v>
      </c>
      <c r="V8" s="80">
        <f>_xlfn.XLOOKUP($B8,Overview_Report!$B:$B,Overview_Report!V:V)</f>
        <v>0</v>
      </c>
      <c r="W8" s="80">
        <f>_xlfn.XLOOKUP($B8,Overview_Report!$B:$B,Overview_Report!W:W)</f>
        <v>0</v>
      </c>
      <c r="X8" s="80">
        <f>_xlfn.XLOOKUP($B8,Overview_Report!$B:$B,Overview_Report!X:X)</f>
        <v>0</v>
      </c>
      <c r="Y8" s="80">
        <f>_xlfn.XLOOKUP($B8,Overview_Report!$B:$B,Overview_Report!Y:Y)</f>
        <v>0</v>
      </c>
      <c r="Z8" s="80">
        <f>_xlfn.XLOOKUP($B8,Overview_Report!$B:$B,Overview_Report!Z:Z)</f>
        <v>0</v>
      </c>
      <c r="AA8" s="80">
        <f>_xlfn.XLOOKUP($B8,Overview_Report!$B:$B,Overview_Report!AA:AA)</f>
        <v>0</v>
      </c>
      <c r="AB8" s="80">
        <f>_xlfn.XLOOKUP($B8,Overview_Report!$B:$B,Overview_Report!AB:AB)</f>
        <v>0</v>
      </c>
      <c r="AC8" s="80">
        <f>_xlfn.XLOOKUP($B8,Overview_Report!$B:$B,Overview_Report!AC:AC)</f>
        <v>0</v>
      </c>
      <c r="AD8" s="80">
        <f>_xlfn.XLOOKUP($B8,Overview_Report!$B:$B,Overview_Report!AD:AD)</f>
        <v>0</v>
      </c>
      <c r="AE8" s="80">
        <f>_xlfn.XLOOKUP($B8,Overview_Report!$B:$B,Overview_Report!AE:AE)</f>
        <v>0</v>
      </c>
      <c r="AF8" s="80">
        <f>_xlfn.XLOOKUP($B8,Overview_Report!$B:$B,Overview_Report!AF:AF)</f>
        <v>0</v>
      </c>
      <c r="AG8" s="80">
        <f>_xlfn.XLOOKUP($B8,Overview_Report!$B:$B,Overview_Report!AG:AG)</f>
        <v>0</v>
      </c>
      <c r="AH8" s="80">
        <f>_xlfn.XLOOKUP($B8,Overview_Report!$B:$B,Overview_Report!AH:AH)</f>
        <v>0</v>
      </c>
    </row>
    <row r="9" spans="1:34" x14ac:dyDescent="0.25">
      <c r="A9" s="2" t="s">
        <v>33</v>
      </c>
      <c r="B9" t="s">
        <v>60</v>
      </c>
      <c r="C9" s="89"/>
      <c r="D9" s="89"/>
      <c r="E9" s="89"/>
      <c r="F9" s="89"/>
      <c r="G9" s="89"/>
      <c r="H9" s="89"/>
      <c r="I9" s="44">
        <f>_xlfn.XLOOKUP($B9,Overview_Report!$B:$B,Overview_Report!I:I)</f>
        <v>10696.631499999998</v>
      </c>
      <c r="J9" s="44">
        <f>_xlfn.XLOOKUP($B9,Overview_Report!$B:$B,Overview_Report!J:J)</f>
        <v>12591.411881412061</v>
      </c>
      <c r="K9" s="44">
        <f>_xlfn.XLOOKUP($B9,Overview_Report!$B:$B,Overview_Report!K:K)</f>
        <v>9816.422723261705</v>
      </c>
      <c r="L9" s="44">
        <f>_xlfn.XLOOKUP($B9,Overview_Report!$B:$B,Overview_Report!L:L)</f>
        <v>11558.830982508942</v>
      </c>
      <c r="M9" s="44">
        <f>_xlfn.XLOOKUP($B9,Overview_Report!$B:$B,Overview_Report!M:M)</f>
        <v>12722.086804289949</v>
      </c>
      <c r="N9" s="44">
        <f>_xlfn.XLOOKUP($B9,Overview_Report!$B:$B,Overview_Report!N:N)</f>
        <v>12452.173212222573</v>
      </c>
      <c r="O9" s="44">
        <f>_xlfn.XLOOKUP($B9,Overview_Report!$B:$B,Overview_Report!O:O)</f>
        <v>10719.757460599054</v>
      </c>
      <c r="P9" s="44">
        <f>_xlfn.XLOOKUP($B9,Overview_Report!$B:$B,Overview_Report!P:P)</f>
        <v>13246.090074756803</v>
      </c>
      <c r="Q9" s="44">
        <f>_xlfn.XLOOKUP($B9,Overview_Report!$B:$B,Overview_Report!Q:Q)</f>
        <v>11270.433384224656</v>
      </c>
      <c r="R9" s="44">
        <f>_xlfn.XLOOKUP($B9,Overview_Report!$B:$B,Overview_Report!R:R)</f>
        <v>13347.992601662299</v>
      </c>
      <c r="S9" s="44">
        <f>_xlfn.XLOOKUP($B9,Overview_Report!$B:$B,Overview_Report!S:S)</f>
        <v>9557.7071572705609</v>
      </c>
      <c r="T9" s="44">
        <f>_xlfn.XLOOKUP($B9,Overview_Report!$B:$B,Overview_Report!T:T)</f>
        <v>9005.6084723712429</v>
      </c>
      <c r="U9" s="44">
        <f>_xlfn.XLOOKUP($B9,Overview_Report!$B:$B,Overview_Report!U:U)</f>
        <v>10459.950423392678</v>
      </c>
      <c r="V9" s="44">
        <f>_xlfn.XLOOKUP($B9,Overview_Report!$B:$B,Overview_Report!V:V)</f>
        <v>12415.626405312536</v>
      </c>
      <c r="W9" s="44">
        <f>_xlfn.XLOOKUP($B9,Overview_Report!$B:$B,Overview_Report!W:W)</f>
        <v>12021.141149145486</v>
      </c>
      <c r="X9" s="44">
        <f>_xlfn.XLOOKUP($B9,Overview_Report!$B:$B,Overview_Report!X:X)</f>
        <v>12413.763077752263</v>
      </c>
      <c r="Y9" s="44">
        <f>_xlfn.XLOOKUP($B9,Overview_Report!$B:$B,Overview_Report!Y:Y)</f>
        <v>12822.596300086117</v>
      </c>
      <c r="Z9" s="44">
        <f>_xlfn.XLOOKUP($B9,Overview_Report!$B:$B,Overview_Report!Z:Z)</f>
        <v>13275.147704868352</v>
      </c>
      <c r="AA9" s="44">
        <f>_xlfn.XLOOKUP($B9,Overview_Report!$B:$B,Overview_Report!AA:AA)</f>
        <v>11291.12443474803</v>
      </c>
      <c r="AB9" s="44">
        <f>_xlfn.XLOOKUP($B9,Overview_Report!$B:$B,Overview_Report!AB:AB)</f>
        <v>10589.557039204816</v>
      </c>
      <c r="AC9" s="44">
        <f>_xlfn.XLOOKUP($B9,Overview_Report!$B:$B,Overview_Report!AC:AC)</f>
        <v>11731.237255467207</v>
      </c>
      <c r="AD9" s="44">
        <f>_xlfn.XLOOKUP($B9,Overview_Report!$B:$B,Overview_Report!AD:AD)</f>
        <v>14005.410121438706</v>
      </c>
      <c r="AE9" s="44">
        <f>_xlfn.XLOOKUP($B9,Overview_Report!$B:$B,Overview_Report!AE:AE)</f>
        <v>13519.746505772275</v>
      </c>
      <c r="AF9" s="44">
        <f>_xlfn.XLOOKUP($B9,Overview_Report!$B:$B,Overview_Report!AF:AF)</f>
        <v>12613.55309153901</v>
      </c>
      <c r="AG9" s="44">
        <f>_xlfn.XLOOKUP($B9,Overview_Report!$B:$B,Overview_Report!AG:AG)</f>
        <v>13414.413512573394</v>
      </c>
      <c r="AH9" s="44">
        <f>_xlfn.XLOOKUP($B9,Overview_Report!$B:$B,Overview_Report!AH:AH)</f>
        <v>12304.597055613463</v>
      </c>
    </row>
    <row r="10" spans="1:34" x14ac:dyDescent="0.25">
      <c r="A10" s="2" t="s">
        <v>34</v>
      </c>
      <c r="B10" s="80" t="s">
        <v>3</v>
      </c>
      <c r="C10" s="89"/>
      <c r="D10" s="89"/>
      <c r="E10" s="89"/>
      <c r="F10" s="89"/>
      <c r="G10" s="89"/>
      <c r="H10" s="89"/>
      <c r="I10" s="80">
        <f>_xlfn.XLOOKUP($B10,Overview_Report!$B:$B,Overview_Report!I:I)</f>
        <v>11180.796999999999</v>
      </c>
      <c r="J10" s="80">
        <f>_xlfn.XLOOKUP($B10,Overview_Report!$B:$B,Overview_Report!J:J)</f>
        <v>8371.8130000000001</v>
      </c>
      <c r="K10" s="80">
        <f>_xlfn.XLOOKUP($B10,Overview_Report!$B:$B,Overview_Report!K:K)</f>
        <v>10117.606000000002</v>
      </c>
      <c r="L10" s="80">
        <f>_xlfn.XLOOKUP($B10,Overview_Report!$B:$B,Overview_Report!L:L)</f>
        <v>8669.8359999999993</v>
      </c>
      <c r="M10" s="80">
        <f>_xlfn.XLOOKUP($B10,Overview_Report!$B:$B,Overview_Report!M:M)</f>
        <v>8260.0560000000005</v>
      </c>
      <c r="N10" s="80">
        <f>_xlfn.XLOOKUP($B10,Overview_Report!$B:$B,Overview_Report!N:N)</f>
        <v>9513.43</v>
      </c>
      <c r="O10" s="80">
        <f>_xlfn.XLOOKUP($B10,Overview_Report!$B:$B,Overview_Report!O:O)</f>
        <v>10133.839999999998</v>
      </c>
      <c r="P10" s="80">
        <f>_xlfn.XLOOKUP($B10,Overview_Report!$B:$B,Overview_Report!P:P)</f>
        <v>9543.5000000000018</v>
      </c>
      <c r="Q10" s="80">
        <f>_xlfn.XLOOKUP($B10,Overview_Report!$B:$B,Overview_Report!Q:Q)</f>
        <v>9795</v>
      </c>
      <c r="R10" s="80">
        <f>_xlfn.XLOOKUP($B10,Overview_Report!$B:$B,Overview_Report!R:R)</f>
        <v>9766.619999999999</v>
      </c>
      <c r="S10" s="80">
        <f>_xlfn.XLOOKUP($B10,Overview_Report!$B:$B,Overview_Report!S:S)</f>
        <v>9361.33</v>
      </c>
      <c r="T10" s="80">
        <f>_xlfn.XLOOKUP($B10,Overview_Report!$B:$B,Overview_Report!T:T)</f>
        <v>9499.2000000000007</v>
      </c>
      <c r="U10" s="80">
        <f>_xlfn.XLOOKUP($B10,Overview_Report!$B:$B,Overview_Report!U:U)</f>
        <v>9012.2999999999975</v>
      </c>
      <c r="V10" s="80">
        <f>_xlfn.XLOOKUP($B10,Overview_Report!$B:$B,Overview_Report!V:V)</f>
        <v>7789.93</v>
      </c>
      <c r="W10" s="80">
        <f>_xlfn.XLOOKUP($B10,Overview_Report!$B:$B,Overview_Report!W:W)</f>
        <v>7887.95</v>
      </c>
      <c r="X10" s="80">
        <f>_xlfn.XLOOKUP($B10,Overview_Report!$B:$B,Overview_Report!X:X)</f>
        <v>9269.7100000000009</v>
      </c>
      <c r="Y10" s="80">
        <f>_xlfn.XLOOKUP($B10,Overview_Report!$B:$B,Overview_Report!Y:Y)</f>
        <v>9218.4399999999987</v>
      </c>
      <c r="Z10" s="80">
        <f>_xlfn.XLOOKUP($B10,Overview_Report!$B:$B,Overview_Report!Z:Z)</f>
        <v>9113.91</v>
      </c>
      <c r="AA10" s="80">
        <f>_xlfn.XLOOKUP($B10,Overview_Report!$B:$B,Overview_Report!AA:AA)</f>
        <v>5638.4599999999991</v>
      </c>
      <c r="AB10" s="80">
        <f>_xlfn.XLOOKUP($B10,Overview_Report!$B:$B,Overview_Report!AB:AB)</f>
        <v>6800.3499999999995</v>
      </c>
      <c r="AC10" s="80">
        <f>_xlfn.XLOOKUP($B10,Overview_Report!$B:$B,Overview_Report!AC:AC)</f>
        <v>8111.1399999999985</v>
      </c>
      <c r="AD10" s="80">
        <f>_xlfn.XLOOKUP($B10,Overview_Report!$B:$B,Overview_Report!AD:AD)</f>
        <v>8464.4600000000009</v>
      </c>
      <c r="AE10" s="80">
        <f>_xlfn.XLOOKUP($B10,Overview_Report!$B:$B,Overview_Report!AE:AE)</f>
        <v>8640.17</v>
      </c>
      <c r="AF10" s="80">
        <f>_xlfn.XLOOKUP($B10,Overview_Report!$B:$B,Overview_Report!AF:AF)</f>
        <v>8750.5199999999986</v>
      </c>
      <c r="AG10" s="80">
        <f>_xlfn.XLOOKUP($B10,Overview_Report!$B:$B,Overview_Report!AG:AG)</f>
        <v>9396.1299999999992</v>
      </c>
      <c r="AH10" s="80">
        <f>_xlfn.XLOOKUP($B10,Overview_Report!$B:$B,Overview_Report!AH:AH)</f>
        <v>8209.9900000000016</v>
      </c>
    </row>
    <row r="11" spans="1:34" x14ac:dyDescent="0.25">
      <c r="B11" s="82" t="s">
        <v>4</v>
      </c>
      <c r="C11" s="90"/>
      <c r="D11" s="90"/>
      <c r="E11" s="90"/>
      <c r="F11" s="90"/>
      <c r="G11" s="90"/>
      <c r="H11" s="90"/>
      <c r="I11" s="82">
        <f>_xlfn.XLOOKUP($B11,Overview_Report!$B:$B,Overview_Report!I:I)</f>
        <v>25858.468283450002</v>
      </c>
      <c r="J11" s="82">
        <f>_xlfn.XLOOKUP($B11,Overview_Report!$B:$B,Overview_Report!J:J)</f>
        <v>23720.870724238786</v>
      </c>
      <c r="K11" s="82">
        <f>_xlfn.XLOOKUP($B11,Overview_Report!$B:$B,Overview_Report!K:K)</f>
        <v>24470.720115378626</v>
      </c>
      <c r="L11" s="82">
        <f>_xlfn.XLOOKUP($B11,Overview_Report!$B:$B,Overview_Report!L:L)</f>
        <v>23648.30043962245</v>
      </c>
      <c r="M11" s="82">
        <f>_xlfn.XLOOKUP($B11,Overview_Report!$B:$B,Overview_Report!M:M)</f>
        <v>23656.012954059664</v>
      </c>
      <c r="N11" s="82">
        <f>_xlfn.XLOOKUP($B11,Overview_Report!$B:$B,Overview_Report!N:N)</f>
        <v>24812.514965866685</v>
      </c>
      <c r="O11" s="82">
        <f>_xlfn.XLOOKUP($B11,Overview_Report!$B:$B,Overview_Report!O:O)</f>
        <v>23323.80508167806</v>
      </c>
      <c r="P11" s="82">
        <f>_xlfn.XLOOKUP($B11,Overview_Report!$B:$B,Overview_Report!P:P)</f>
        <v>22789.590074756808</v>
      </c>
      <c r="Q11" s="82">
        <f>_xlfn.XLOOKUP($B11,Overview_Report!$B:$B,Overview_Report!Q:Q)</f>
        <v>21065.433384224656</v>
      </c>
      <c r="R11" s="82">
        <f>_xlfn.XLOOKUP($B11,Overview_Report!$B:$B,Overview_Report!R:R)</f>
        <v>23114.612601662295</v>
      </c>
      <c r="S11" s="82">
        <f>_xlfn.XLOOKUP($B11,Overview_Report!$B:$B,Overview_Report!S:S)</f>
        <v>18919.037157270563</v>
      </c>
      <c r="T11" s="82">
        <f>_xlfn.XLOOKUP($B11,Overview_Report!$B:$B,Overview_Report!T:T)</f>
        <v>18504.808472371242</v>
      </c>
      <c r="U11" s="82">
        <f>_xlfn.XLOOKUP($B11,Overview_Report!$B:$B,Overview_Report!U:U)</f>
        <v>19472.250423392674</v>
      </c>
      <c r="V11" s="82">
        <f>_xlfn.XLOOKUP($B11,Overview_Report!$B:$B,Overview_Report!V:V)</f>
        <v>20205.556405312538</v>
      </c>
      <c r="W11" s="82">
        <f>_xlfn.XLOOKUP($B11,Overview_Report!$B:$B,Overview_Report!W:W)</f>
        <v>19909.091149145486</v>
      </c>
      <c r="X11" s="82">
        <f>_xlfn.XLOOKUP($B11,Overview_Report!$B:$B,Overview_Report!X:X)</f>
        <v>21683.47307775226</v>
      </c>
      <c r="Y11" s="82">
        <f>_xlfn.XLOOKUP($B11,Overview_Report!$B:$B,Overview_Report!Y:Y)</f>
        <v>22041.036300086122</v>
      </c>
      <c r="Z11" s="82">
        <f>_xlfn.XLOOKUP($B11,Overview_Report!$B:$B,Overview_Report!Z:Z)</f>
        <v>22389.057704868352</v>
      </c>
      <c r="AA11" s="82">
        <f>_xlfn.XLOOKUP($B11,Overview_Report!$B:$B,Overview_Report!AA:AA)</f>
        <v>16929.584434748027</v>
      </c>
      <c r="AB11" s="82">
        <f>_xlfn.XLOOKUP($B11,Overview_Report!$B:$B,Overview_Report!AB:AB)</f>
        <v>17389.907039204816</v>
      </c>
      <c r="AC11" s="82">
        <f>_xlfn.XLOOKUP($B11,Overview_Report!$B:$B,Overview_Report!AC:AC)</f>
        <v>19842.377255467207</v>
      </c>
      <c r="AD11" s="82">
        <f>_xlfn.XLOOKUP($B11,Overview_Report!$B:$B,Overview_Report!AD:AD)</f>
        <v>22469.870121438704</v>
      </c>
      <c r="AE11" s="82">
        <f>_xlfn.XLOOKUP($B11,Overview_Report!$B:$B,Overview_Report!AE:AE)</f>
        <v>22159.916505772275</v>
      </c>
      <c r="AF11" s="82">
        <f>_xlfn.XLOOKUP($B11,Overview_Report!$B:$B,Overview_Report!AF:AF)</f>
        <v>21364.073091539016</v>
      </c>
      <c r="AG11" s="82">
        <f>_xlfn.XLOOKUP($B11,Overview_Report!$B:$B,Overview_Report!AG:AG)</f>
        <v>22810.543512573393</v>
      </c>
      <c r="AH11" s="82">
        <f>_xlfn.XLOOKUP($B11,Overview_Report!$B:$B,Overview_Report!AH:AH)</f>
        <v>20514.587055613465</v>
      </c>
    </row>
    <row r="12" spans="1:34" s="78" customFormat="1" x14ac:dyDescent="0.25">
      <c r="A12" s="3" t="s">
        <v>36</v>
      </c>
      <c r="B12" s="81" t="s">
        <v>5</v>
      </c>
      <c r="C12" s="90"/>
      <c r="D12" s="90"/>
      <c r="E12" s="90"/>
      <c r="F12" s="90"/>
      <c r="G12" s="90"/>
      <c r="H12" s="90"/>
      <c r="I12" s="81">
        <f>_xlfn.XLOOKUP($B12,Overview_Report!$B:$B,Overview_Report!I:I)</f>
        <v>21877.428499999998</v>
      </c>
      <c r="J12" s="81">
        <f>_xlfn.XLOOKUP($B12,Overview_Report!$B:$B,Overview_Report!J:J)</f>
        <v>20963.224881412061</v>
      </c>
      <c r="K12" s="81">
        <f>_xlfn.XLOOKUP($B12,Overview_Report!$B:$B,Overview_Report!K:K)</f>
        <v>19934.028723261705</v>
      </c>
      <c r="L12" s="81">
        <f>_xlfn.XLOOKUP($B12,Overview_Report!$B:$B,Overview_Report!L:L)</f>
        <v>20228.666982508938</v>
      </c>
      <c r="M12" s="81">
        <f>_xlfn.XLOOKUP($B12,Overview_Report!$B:$B,Overview_Report!M:M)</f>
        <v>20982.14280428995</v>
      </c>
      <c r="N12" s="81">
        <f>_xlfn.XLOOKUP($B12,Overview_Report!$B:$B,Overview_Report!N:N)</f>
        <v>21965.603212222577</v>
      </c>
      <c r="O12" s="81">
        <f>_xlfn.XLOOKUP($B12,Overview_Report!$B:$B,Overview_Report!O:O)</f>
        <v>20853.597460599056</v>
      </c>
      <c r="P12" s="81">
        <f>_xlfn.XLOOKUP($B12,Overview_Report!$B:$B,Overview_Report!P:P)</f>
        <v>22789.590074756805</v>
      </c>
      <c r="Q12" s="81">
        <f>_xlfn.XLOOKUP($B12,Overview_Report!$B:$B,Overview_Report!Q:Q)</f>
        <v>21065.433384224656</v>
      </c>
      <c r="R12" s="81">
        <f>_xlfn.XLOOKUP($B12,Overview_Report!$B:$B,Overview_Report!R:R)</f>
        <v>23114.612601662298</v>
      </c>
      <c r="S12" s="81">
        <f>_xlfn.XLOOKUP($B12,Overview_Report!$B:$B,Overview_Report!S:S)</f>
        <v>18919.037157270563</v>
      </c>
      <c r="T12" s="81">
        <f>_xlfn.XLOOKUP($B12,Overview_Report!$B:$B,Overview_Report!T:T)</f>
        <v>18504.808472371242</v>
      </c>
      <c r="U12" s="81">
        <f>_xlfn.XLOOKUP($B12,Overview_Report!$B:$B,Overview_Report!U:U)</f>
        <v>19472.250423392674</v>
      </c>
      <c r="V12" s="81">
        <f>_xlfn.XLOOKUP($B12,Overview_Report!$B:$B,Overview_Report!V:V)</f>
        <v>20205.556405312538</v>
      </c>
      <c r="W12" s="81">
        <f>_xlfn.XLOOKUP($B12,Overview_Report!$B:$B,Overview_Report!W:W)</f>
        <v>19909.091149145486</v>
      </c>
      <c r="X12" s="81">
        <f>_xlfn.XLOOKUP($B12,Overview_Report!$B:$B,Overview_Report!X:X)</f>
        <v>21683.47307775226</v>
      </c>
      <c r="Y12" s="81">
        <f>_xlfn.XLOOKUP($B12,Overview_Report!$B:$B,Overview_Report!Y:Y)</f>
        <v>22041.036300086122</v>
      </c>
      <c r="Z12" s="81">
        <f>_xlfn.XLOOKUP($B12,Overview_Report!$B:$B,Overview_Report!Z:Z)</f>
        <v>22389.057704868352</v>
      </c>
      <c r="AA12" s="81">
        <f>_xlfn.XLOOKUP($B12,Overview_Report!$B:$B,Overview_Report!AA:AA)</f>
        <v>16929.584434748031</v>
      </c>
      <c r="AB12" s="81">
        <f>_xlfn.XLOOKUP($B12,Overview_Report!$B:$B,Overview_Report!AB:AB)</f>
        <v>17389.907039204816</v>
      </c>
      <c r="AC12" s="81">
        <f>_xlfn.XLOOKUP($B12,Overview_Report!$B:$B,Overview_Report!AC:AC)</f>
        <v>19842.377255467203</v>
      </c>
      <c r="AD12" s="81">
        <f>_xlfn.XLOOKUP($B12,Overview_Report!$B:$B,Overview_Report!AD:AD)</f>
        <v>22469.870121438704</v>
      </c>
      <c r="AE12" s="81">
        <f>_xlfn.XLOOKUP($B12,Overview_Report!$B:$B,Overview_Report!AE:AE)</f>
        <v>22159.916505772271</v>
      </c>
      <c r="AF12" s="81">
        <f>_xlfn.XLOOKUP($B12,Overview_Report!$B:$B,Overview_Report!AF:AF)</f>
        <v>21364.073091539012</v>
      </c>
      <c r="AG12" s="81">
        <f>_xlfn.XLOOKUP($B12,Overview_Report!$B:$B,Overview_Report!AG:AG)</f>
        <v>22810.543512573393</v>
      </c>
      <c r="AH12" s="81">
        <f>_xlfn.XLOOKUP($B12,Overview_Report!$B:$B,Overview_Report!AH:AH)</f>
        <v>20514.587055613465</v>
      </c>
    </row>
    <row r="13" spans="1:34" x14ac:dyDescent="0.25">
      <c r="A13" s="7"/>
      <c r="B13" t="s">
        <v>63</v>
      </c>
      <c r="I13" s="106">
        <f>_xlfn.XLOOKUP($B13,Overview_Report!$B:$B,Overview_Report!I:I)</f>
        <v>3837.12928345</v>
      </c>
      <c r="J13" s="106">
        <f>_xlfn.XLOOKUP($B13,Overview_Report!$B:$B,Overview_Report!J:J)</f>
        <v>4519.0577242387881</v>
      </c>
      <c r="K13" s="106">
        <f>_xlfn.XLOOKUP($B13,Overview_Report!$B:$B,Overview_Report!K:K)</f>
        <v>3523.1141153786266</v>
      </c>
      <c r="L13" s="106">
        <f>_xlfn.XLOOKUP($B13,Overview_Report!$B:$B,Overview_Report!L:L)</f>
        <v>4148.4644396224594</v>
      </c>
      <c r="M13" s="106">
        <f>_xlfn.XLOOKUP($B13,Overview_Report!$B:$B,Overview_Report!M:M)</f>
        <v>4565.9569540596622</v>
      </c>
      <c r="N13" s="106">
        <f>_xlfn.XLOOKUP($B13,Overview_Report!$B:$B,Overview_Report!N:N)</f>
        <v>4469.0849658666821</v>
      </c>
      <c r="O13" s="106">
        <f>_xlfn.XLOOKUP($B13,Overview_Report!$B:$B,Overview_Report!O:O)</f>
        <v>3847.3209526090004</v>
      </c>
      <c r="P13" s="106">
        <f>_xlfn.XLOOKUP($B13,Overview_Report!$B:$B,Overview_Report!P:P)</f>
        <v>4754.0217278302171</v>
      </c>
      <c r="Q13" s="106">
        <f>_xlfn.XLOOKUP($B13,Overview_Report!$B:$B,Overview_Report!Q:Q)</f>
        <v>4044.9585415982283</v>
      </c>
      <c r="R13" s="106">
        <f>_xlfn.XLOOKUP($B13,Overview_Report!$B:$B,Overview_Report!R:R)</f>
        <v>4790.5945447365984</v>
      </c>
      <c r="S13" s="106">
        <f>_xlfn.XLOOKUP($B13,Overview_Report!$B:$B,Overview_Report!S:S)</f>
        <v>3430.2610987444036</v>
      </c>
      <c r="T13" s="106">
        <f>_xlfn.XLOOKUP($B13,Overview_Report!$B:$B,Overview_Report!T:T)</f>
        <v>3232.1128807340392</v>
      </c>
      <c r="U13" s="106">
        <f>_xlfn.XLOOKUP($B13,Overview_Report!$B:$B,Overview_Report!U:U)</f>
        <v>3754.0762069556322</v>
      </c>
      <c r="V13" s="106">
        <f>_xlfn.XLOOKUP($B13,Overview_Report!$B:$B,Overview_Report!V:V)</f>
        <v>4455.9683168666688</v>
      </c>
      <c r="W13" s="106">
        <f>_xlfn.XLOOKUP($B13,Overview_Report!$B:$B,Overview_Report!W:W)</f>
        <v>4314.3875584283142</v>
      </c>
      <c r="X13" s="106">
        <f>_xlfn.XLOOKUP($B13,Overview_Report!$B:$B,Overview_Report!X:X)</f>
        <v>4455.2995686052873</v>
      </c>
      <c r="Y13" s="106">
        <f>_xlfn.XLOOKUP($B13,Overview_Report!$B:$B,Overview_Report!Y:Y)</f>
        <v>4602.0298121009073</v>
      </c>
      <c r="Z13" s="106">
        <f>_xlfn.XLOOKUP($B13,Overview_Report!$B:$B,Overview_Report!Z:Z)</f>
        <v>4764.4505112772522</v>
      </c>
      <c r="AA13" s="106">
        <f>_xlfn.XLOOKUP($B13,Overview_Report!$B:$B,Overview_Report!AA:AA)</f>
        <v>4052.384559631068</v>
      </c>
      <c r="AB13" s="106">
        <f>_xlfn.XLOOKUP($B13,Overview_Report!$B:$B,Overview_Report!AB:AB)</f>
        <v>3800.5920213706081</v>
      </c>
      <c r="AC13" s="106">
        <f>_xlfn.XLOOKUP($B13,Overview_Report!$B:$B,Overview_Report!AC:AC)</f>
        <v>4210.341050987181</v>
      </c>
      <c r="AD13" s="106">
        <f>_xlfn.XLOOKUP($B13,Overview_Report!$B:$B,Overview_Report!AD:AD)</f>
        <v>5026.5416925843519</v>
      </c>
      <c r="AE13" s="106">
        <f>_xlfn.XLOOKUP($B13,Overview_Report!$B:$B,Overview_Report!AE:AE)</f>
        <v>4852.2370209216697</v>
      </c>
      <c r="AF13" s="106">
        <f>_xlfn.XLOOKUP($B13,Overview_Report!$B:$B,Overview_Report!AF:AF)</f>
        <v>4527.0042045533501</v>
      </c>
      <c r="AG13" s="106">
        <f>_xlfn.XLOOKUP($B13,Overview_Report!$B:$B,Overview_Report!AG:AG)</f>
        <v>4814.4330096625908</v>
      </c>
      <c r="AH13" s="106">
        <f>_xlfn.XLOOKUP($B13,Overview_Report!$B:$B,Overview_Report!AH:AH)</f>
        <v>4416.119883259672</v>
      </c>
    </row>
    <row r="14" spans="1:34" x14ac:dyDescent="0.25">
      <c r="A14" s="4" t="s">
        <v>37</v>
      </c>
      <c r="B14" t="s">
        <v>64</v>
      </c>
      <c r="I14" s="106">
        <f>_xlfn.XLOOKUP($B14,Overview_Report!$B:$B,Overview_Report!I:I)</f>
        <v>11180.796999999999</v>
      </c>
      <c r="J14" s="106">
        <f>_xlfn.XLOOKUP($B14,Overview_Report!$B:$B,Overview_Report!J:J)</f>
        <v>8371.8130000000001</v>
      </c>
      <c r="K14" s="106">
        <f>_xlfn.XLOOKUP($B14,Overview_Report!$B:$B,Overview_Report!K:K)</f>
        <v>10117.606000000002</v>
      </c>
      <c r="L14" s="106">
        <f>_xlfn.XLOOKUP($B14,Overview_Report!$B:$B,Overview_Report!L:L)</f>
        <v>8669.8359999999993</v>
      </c>
      <c r="M14" s="106">
        <f>_xlfn.XLOOKUP($B14,Overview_Report!$B:$B,Overview_Report!M:M)</f>
        <v>8260.0560000000005</v>
      </c>
      <c r="N14" s="106">
        <f>_xlfn.XLOOKUP($B14,Overview_Report!$B:$B,Overview_Report!N:N)</f>
        <v>9513.43</v>
      </c>
      <c r="O14" s="106">
        <f>_xlfn.XLOOKUP($B14,Overview_Report!$B:$B,Overview_Report!O:O)</f>
        <v>10133.839999999998</v>
      </c>
      <c r="P14" s="106">
        <f>_xlfn.XLOOKUP($B14,Overview_Report!$B:$B,Overview_Report!P:P)</f>
        <v>9543.5000000000018</v>
      </c>
      <c r="Q14" s="106">
        <f>_xlfn.XLOOKUP($B14,Overview_Report!$B:$B,Overview_Report!Q:Q)</f>
        <v>9795</v>
      </c>
      <c r="R14" s="106">
        <f>_xlfn.XLOOKUP($B14,Overview_Report!$B:$B,Overview_Report!R:R)</f>
        <v>9766.619999999999</v>
      </c>
      <c r="S14" s="106">
        <f>_xlfn.XLOOKUP($B14,Overview_Report!$B:$B,Overview_Report!S:S)</f>
        <v>9361.33</v>
      </c>
      <c r="T14" s="106">
        <f>_xlfn.XLOOKUP($B14,Overview_Report!$B:$B,Overview_Report!T:T)</f>
        <v>9499.2000000000007</v>
      </c>
      <c r="U14" s="106">
        <f>_xlfn.XLOOKUP($B14,Overview_Report!$B:$B,Overview_Report!U:U)</f>
        <v>9012.2999999999975</v>
      </c>
      <c r="V14" s="106">
        <f>_xlfn.XLOOKUP($B14,Overview_Report!$B:$B,Overview_Report!V:V)</f>
        <v>7789.93</v>
      </c>
      <c r="W14" s="106">
        <f>_xlfn.XLOOKUP($B14,Overview_Report!$B:$B,Overview_Report!W:W)</f>
        <v>7887.95</v>
      </c>
      <c r="X14" s="106">
        <f>_xlfn.XLOOKUP($B14,Overview_Report!$B:$B,Overview_Report!X:X)</f>
        <v>9269.7100000000009</v>
      </c>
      <c r="Y14" s="106">
        <f>_xlfn.XLOOKUP($B14,Overview_Report!$B:$B,Overview_Report!Y:Y)</f>
        <v>9218.4399999999987</v>
      </c>
      <c r="Z14" s="106">
        <f>_xlfn.XLOOKUP($B14,Overview_Report!$B:$B,Overview_Report!Z:Z)</f>
        <v>9113.91</v>
      </c>
      <c r="AA14" s="106">
        <f>_xlfn.XLOOKUP($B14,Overview_Report!$B:$B,Overview_Report!AA:AA)</f>
        <v>5638.4599999999991</v>
      </c>
      <c r="AB14" s="106">
        <f>_xlfn.XLOOKUP($B14,Overview_Report!$B:$B,Overview_Report!AB:AB)</f>
        <v>6800.3499999999995</v>
      </c>
      <c r="AC14" s="106">
        <f>_xlfn.XLOOKUP($B14,Overview_Report!$B:$B,Overview_Report!AC:AC)</f>
        <v>8111.1399999999985</v>
      </c>
      <c r="AD14" s="106">
        <f>_xlfn.XLOOKUP($B14,Overview_Report!$B:$B,Overview_Report!AD:AD)</f>
        <v>8464.4600000000009</v>
      </c>
      <c r="AE14" s="106">
        <f>_xlfn.XLOOKUP($B14,Overview_Report!$B:$B,Overview_Report!AE:AE)</f>
        <v>8640.17</v>
      </c>
      <c r="AF14" s="106">
        <f>_xlfn.XLOOKUP($B14,Overview_Report!$B:$B,Overview_Report!AF:AF)</f>
        <v>8750.5199999999986</v>
      </c>
      <c r="AG14" s="106">
        <f>_xlfn.XLOOKUP($B14,Overview_Report!$B:$B,Overview_Report!AG:AG)</f>
        <v>9396.1299999999992</v>
      </c>
      <c r="AH14" s="106">
        <f>_xlfn.XLOOKUP($B14,Overview_Report!$B:$B,Overview_Report!AH:AH)</f>
        <v>8209.9900000000016</v>
      </c>
    </row>
    <row r="15" spans="1:34" x14ac:dyDescent="0.25">
      <c r="A15" s="4" t="s">
        <v>39</v>
      </c>
      <c r="B15" t="s">
        <v>65</v>
      </c>
      <c r="I15" s="106">
        <f>_xlfn.XLOOKUP($B15,Overview_Report!$B:$B,Overview_Report!I:I)</f>
        <v>6854.2312165499998</v>
      </c>
      <c r="J15" s="106">
        <f>_xlfn.XLOOKUP($B15,Overview_Report!$B:$B,Overview_Report!J:J)</f>
        <v>8072.3541571732712</v>
      </c>
      <c r="K15" s="106">
        <f>_xlfn.XLOOKUP($B15,Overview_Report!$B:$B,Overview_Report!K:K)</f>
        <v>6293.3086078830793</v>
      </c>
      <c r="L15" s="106">
        <f>_xlfn.XLOOKUP($B15,Overview_Report!$B:$B,Overview_Report!L:L)</f>
        <v>7410.3665428864833</v>
      </c>
      <c r="M15" s="106">
        <f>_xlfn.XLOOKUP($B15,Overview_Report!$B:$B,Overview_Report!M:M)</f>
        <v>8156.129850230287</v>
      </c>
      <c r="N15" s="106">
        <f>_xlfn.XLOOKUP($B15,Overview_Report!$B:$B,Overview_Report!N:N)</f>
        <v>7983.0882463558928</v>
      </c>
      <c r="O15" s="106">
        <f>_xlfn.XLOOKUP($B15,Overview_Report!$B:$B,Overview_Report!O:O)</f>
        <v>6872.4365079900545</v>
      </c>
      <c r="P15" s="106">
        <f>_xlfn.XLOOKUP($B15,Overview_Report!$B:$B,Overview_Report!P:P)</f>
        <v>8492.0683469265878</v>
      </c>
      <c r="Q15" s="106">
        <f>_xlfn.XLOOKUP($B15,Overview_Report!$B:$B,Overview_Report!Q:Q)</f>
        <v>7225.4748426264268</v>
      </c>
      <c r="R15" s="106">
        <f>_xlfn.XLOOKUP($B15,Overview_Report!$B:$B,Overview_Report!R:R)</f>
        <v>8557.3980569257001</v>
      </c>
      <c r="S15" s="106">
        <f>_xlfn.XLOOKUP($B15,Overview_Report!$B:$B,Overview_Report!S:S)</f>
        <v>6127.4460585261559</v>
      </c>
      <c r="T15" s="106">
        <f>_xlfn.XLOOKUP($B15,Overview_Report!$B:$B,Overview_Report!T:T)</f>
        <v>5773.4955916372046</v>
      </c>
      <c r="U15" s="106">
        <f>_xlfn.XLOOKUP($B15,Overview_Report!$B:$B,Overview_Report!U:U)</f>
        <v>6705.8742164370478</v>
      </c>
      <c r="V15" s="106">
        <f>_xlfn.XLOOKUP($B15,Overview_Report!$B:$B,Overview_Report!V:V)</f>
        <v>7959.6580884458654</v>
      </c>
      <c r="W15" s="106">
        <f>_xlfn.XLOOKUP($B15,Overview_Report!$B:$B,Overview_Report!W:W)</f>
        <v>7706.7535907171714</v>
      </c>
      <c r="X15" s="106">
        <f>_xlfn.XLOOKUP($B15,Overview_Report!$B:$B,Overview_Report!X:X)</f>
        <v>7958.4635091469754</v>
      </c>
      <c r="Y15" s="106">
        <f>_xlfn.XLOOKUP($B15,Overview_Report!$B:$B,Overview_Report!Y:Y)</f>
        <v>8220.5664879852102</v>
      </c>
      <c r="Z15" s="106">
        <f>_xlfn.XLOOKUP($B15,Overview_Report!$B:$B,Overview_Report!Z:Z)</f>
        <v>8510.6971935911006</v>
      </c>
      <c r="AA15" s="106">
        <f>_xlfn.XLOOKUP($B15,Overview_Report!$B:$B,Overview_Report!AA:AA)</f>
        <v>7238.7398751169621</v>
      </c>
      <c r="AB15" s="106">
        <f>_xlfn.XLOOKUP($B15,Overview_Report!$B:$B,Overview_Report!AB:AB)</f>
        <v>6788.9650178342072</v>
      </c>
      <c r="AC15" s="106">
        <f>_xlfn.XLOOKUP($B15,Overview_Report!$B:$B,Overview_Report!AC:AC)</f>
        <v>7520.8962044800282</v>
      </c>
      <c r="AD15" s="106">
        <f>_xlfn.XLOOKUP($B15,Overview_Report!$B:$B,Overview_Report!AD:AD)</f>
        <v>8978.8684288543554</v>
      </c>
      <c r="AE15" s="106">
        <f>_xlfn.XLOOKUP($B15,Overview_Report!$B:$B,Overview_Report!AE:AE)</f>
        <v>8667.5094848506069</v>
      </c>
      <c r="AF15" s="106">
        <f>_xlfn.XLOOKUP($B15,Overview_Report!$B:$B,Overview_Report!AF:AF)</f>
        <v>8086.5488869856572</v>
      </c>
      <c r="AG15" s="106">
        <f>_xlfn.XLOOKUP($B15,Overview_Report!$B:$B,Overview_Report!AG:AG)</f>
        <v>8599.9805029108029</v>
      </c>
      <c r="AH15" s="106">
        <f>_xlfn.XLOOKUP($B15,Overview_Report!$B:$B,Overview_Report!AH:AH)</f>
        <v>7888.4771723537924</v>
      </c>
    </row>
    <row r="16" spans="1:34" x14ac:dyDescent="0.25">
      <c r="A16" s="4" t="s">
        <v>40</v>
      </c>
      <c r="B16" t="s">
        <v>66</v>
      </c>
      <c r="I16" s="106">
        <f>_xlfn.XLOOKUP($B16,Overview_Report!$B:$B,Overview_Report!I:I)</f>
        <v>0</v>
      </c>
      <c r="J16" s="106">
        <f>_xlfn.XLOOKUP($B16,Overview_Report!$B:$B,Overview_Report!J:J)</f>
        <v>0</v>
      </c>
      <c r="K16" s="106">
        <f>_xlfn.XLOOKUP($B16,Overview_Report!$B:$B,Overview_Report!K:K)</f>
        <v>0</v>
      </c>
      <c r="L16" s="106">
        <f>_xlfn.XLOOKUP($B16,Overview_Report!$B:$B,Overview_Report!L:L)</f>
        <v>0</v>
      </c>
      <c r="M16" s="106">
        <f>_xlfn.XLOOKUP($B16,Overview_Report!$B:$B,Overview_Report!M:M)</f>
        <v>0</v>
      </c>
      <c r="N16" s="106">
        <f>_xlfn.XLOOKUP($B16,Overview_Report!$B:$B,Overview_Report!N:N)</f>
        <v>0</v>
      </c>
      <c r="O16" s="106">
        <f>_xlfn.XLOOKUP($B16,Overview_Report!$B:$B,Overview_Report!O:O)</f>
        <v>0</v>
      </c>
      <c r="P16" s="106">
        <f>_xlfn.XLOOKUP($B16,Overview_Report!$B:$B,Overview_Report!P:P)</f>
        <v>0</v>
      </c>
      <c r="Q16" s="106">
        <f>_xlfn.XLOOKUP($B16,Overview_Report!$B:$B,Overview_Report!Q:Q)</f>
        <v>0</v>
      </c>
      <c r="R16" s="106">
        <f>_xlfn.XLOOKUP($B16,Overview_Report!$B:$B,Overview_Report!R:R)</f>
        <v>0</v>
      </c>
      <c r="S16" s="106">
        <f>_xlfn.XLOOKUP($B16,Overview_Report!$B:$B,Overview_Report!S:S)</f>
        <v>0</v>
      </c>
      <c r="T16" s="106">
        <f>_xlfn.XLOOKUP($B16,Overview_Report!$B:$B,Overview_Report!T:T)</f>
        <v>0</v>
      </c>
      <c r="U16" s="106">
        <f>_xlfn.XLOOKUP($B16,Overview_Report!$B:$B,Overview_Report!U:U)</f>
        <v>0</v>
      </c>
      <c r="V16" s="106">
        <f>_xlfn.XLOOKUP($B16,Overview_Report!$B:$B,Overview_Report!V:V)</f>
        <v>0</v>
      </c>
      <c r="W16" s="106">
        <f>_xlfn.XLOOKUP($B16,Overview_Report!$B:$B,Overview_Report!W:W)</f>
        <v>0</v>
      </c>
      <c r="X16" s="106">
        <f>_xlfn.XLOOKUP($B16,Overview_Report!$B:$B,Overview_Report!X:X)</f>
        <v>0</v>
      </c>
      <c r="Y16" s="106">
        <f>_xlfn.XLOOKUP($B16,Overview_Report!$B:$B,Overview_Report!Y:Y)</f>
        <v>0</v>
      </c>
      <c r="Z16" s="106">
        <f>_xlfn.XLOOKUP($B16,Overview_Report!$B:$B,Overview_Report!Z:Z)</f>
        <v>0</v>
      </c>
      <c r="AA16" s="106">
        <f>_xlfn.XLOOKUP($B16,Overview_Report!$B:$B,Overview_Report!AA:AA)</f>
        <v>0</v>
      </c>
      <c r="AB16" s="106">
        <f>_xlfn.XLOOKUP($B16,Overview_Report!$B:$B,Overview_Report!AB:AB)</f>
        <v>0</v>
      </c>
      <c r="AC16" s="106">
        <f>_xlfn.XLOOKUP($B16,Overview_Report!$B:$B,Overview_Report!AC:AC)</f>
        <v>0</v>
      </c>
      <c r="AD16" s="106">
        <f>_xlfn.XLOOKUP($B16,Overview_Report!$B:$B,Overview_Report!AD:AD)</f>
        <v>0</v>
      </c>
      <c r="AE16" s="106">
        <f>_xlfn.XLOOKUP($B16,Overview_Report!$B:$B,Overview_Report!AE:AE)</f>
        <v>0</v>
      </c>
      <c r="AF16" s="106">
        <f>_xlfn.XLOOKUP($B16,Overview_Report!$B:$B,Overview_Report!AF:AF)</f>
        <v>0</v>
      </c>
      <c r="AG16" s="106">
        <f>_xlfn.XLOOKUP($B16,Overview_Report!$B:$B,Overview_Report!AG:AG)</f>
        <v>0</v>
      </c>
      <c r="AH16" s="106">
        <f>_xlfn.XLOOKUP($B16,Overview_Report!$B:$B,Overview_Report!AH:AH)</f>
        <v>0</v>
      </c>
    </row>
    <row r="17" spans="1:34" x14ac:dyDescent="0.25">
      <c r="B17" s="7" t="s">
        <v>6</v>
      </c>
      <c r="C17" s="91"/>
      <c r="D17" s="91"/>
      <c r="E17" s="91"/>
      <c r="F17" s="91"/>
      <c r="G17" s="91"/>
      <c r="H17" s="7"/>
      <c r="I17" s="7">
        <f>_xlfn.XLOOKUP($B17,Overview_Report!$B:$B,Overview_Report!I:I)</f>
        <v>0</v>
      </c>
      <c r="J17" s="7">
        <f>_xlfn.XLOOKUP($B17,Overview_Report!$B:$B,Overview_Report!J:J)</f>
        <v>0</v>
      </c>
      <c r="K17" s="7">
        <f>_xlfn.XLOOKUP($B17,Overview_Report!$B:$B,Overview_Report!K:K)</f>
        <v>0</v>
      </c>
      <c r="L17" s="7">
        <f>_xlfn.XLOOKUP($B17,Overview_Report!$B:$B,Overview_Report!L:L)</f>
        <v>0</v>
      </c>
      <c r="M17" s="7">
        <f>_xlfn.XLOOKUP($B17,Overview_Report!$B:$B,Overview_Report!M:M)</f>
        <v>0</v>
      </c>
      <c r="N17" s="7">
        <f>_xlfn.XLOOKUP($B17,Overview_Report!$B:$B,Overview_Report!N:N)</f>
        <v>0</v>
      </c>
      <c r="O17" s="7">
        <f>_xlfn.XLOOKUP($B17,Overview_Report!$B:$B,Overview_Report!O:O)</f>
        <v>0</v>
      </c>
      <c r="P17" s="7">
        <f>_xlfn.XLOOKUP($B17,Overview_Report!$B:$B,Overview_Report!P:P)</f>
        <v>0</v>
      </c>
      <c r="Q17" s="7">
        <f>_xlfn.XLOOKUP($B17,Overview_Report!$B:$B,Overview_Report!Q:Q)</f>
        <v>0</v>
      </c>
      <c r="R17" s="7">
        <f>_xlfn.XLOOKUP($B17,Overview_Report!$B:$B,Overview_Report!R:R)</f>
        <v>0</v>
      </c>
      <c r="S17" s="7">
        <f>_xlfn.XLOOKUP($B17,Overview_Report!$B:$B,Overview_Report!S:S)</f>
        <v>0</v>
      </c>
      <c r="T17" s="7">
        <f>_xlfn.XLOOKUP($B17,Overview_Report!$B:$B,Overview_Report!T:T)</f>
        <v>0</v>
      </c>
      <c r="U17" s="7">
        <f>_xlfn.XLOOKUP($B17,Overview_Report!$B:$B,Overview_Report!U:U)</f>
        <v>0</v>
      </c>
      <c r="V17" s="7">
        <f>_xlfn.XLOOKUP($B17,Overview_Report!$B:$B,Overview_Report!V:V)</f>
        <v>0</v>
      </c>
      <c r="W17" s="7">
        <f>_xlfn.XLOOKUP($B17,Overview_Report!$B:$B,Overview_Report!W:W)</f>
        <v>0</v>
      </c>
      <c r="X17" s="7">
        <f>_xlfn.XLOOKUP($B17,Overview_Report!$B:$B,Overview_Report!X:X)</f>
        <v>0</v>
      </c>
      <c r="Y17" s="7">
        <f>_xlfn.XLOOKUP($B17,Overview_Report!$B:$B,Overview_Report!Y:Y)</f>
        <v>0</v>
      </c>
      <c r="Z17" s="7">
        <f>_xlfn.XLOOKUP($B17,Overview_Report!$B:$B,Overview_Report!Z:Z)</f>
        <v>0</v>
      </c>
      <c r="AA17" s="7">
        <f>_xlfn.XLOOKUP($B17,Overview_Report!$B:$B,Overview_Report!AA:AA)</f>
        <v>0</v>
      </c>
      <c r="AB17" s="7">
        <f>_xlfn.XLOOKUP($B17,Overview_Report!$B:$B,Overview_Report!AB:AB)</f>
        <v>0</v>
      </c>
      <c r="AC17" s="7">
        <f>_xlfn.XLOOKUP($B17,Overview_Report!$B:$B,Overview_Report!AC:AC)</f>
        <v>0</v>
      </c>
      <c r="AD17" s="7">
        <f>_xlfn.XLOOKUP($B17,Overview_Report!$B:$B,Overview_Report!AD:AD)</f>
        <v>0</v>
      </c>
      <c r="AE17" s="7">
        <f>_xlfn.XLOOKUP($B17,Overview_Report!$B:$B,Overview_Report!AE:AE)</f>
        <v>0</v>
      </c>
      <c r="AF17" s="7">
        <f>_xlfn.XLOOKUP($B17,Overview_Report!$B:$B,Overview_Report!AF:AF)</f>
        <v>0</v>
      </c>
      <c r="AG17" s="7">
        <f>_xlfn.XLOOKUP($B17,Overview_Report!$B:$B,Overview_Report!AG:AG)</f>
        <v>0</v>
      </c>
      <c r="AH17" s="7">
        <f>_xlfn.XLOOKUP($B17,Overview_Report!$B:$B,Overview_Report!AH:AH)</f>
        <v>0</v>
      </c>
    </row>
    <row r="18" spans="1:34" x14ac:dyDescent="0.25">
      <c r="A18" s="4" t="s">
        <v>38</v>
      </c>
      <c r="B18" s="83" t="s">
        <v>7</v>
      </c>
      <c r="C18" s="89"/>
      <c r="D18" s="89"/>
      <c r="E18" s="89"/>
      <c r="F18" s="89"/>
      <c r="G18" s="89"/>
      <c r="H18" s="89"/>
      <c r="I18" s="92">
        <f>_xlfn.XLOOKUP($B18,Overview_Report!$B:$B,Overview_Report!I:I)</f>
        <v>13011.91382881278</v>
      </c>
      <c r="J18" s="92">
        <f>_xlfn.XLOOKUP($B18,Overview_Report!$B:$B,Overview_Report!J:J)</f>
        <v>10361.632413317559</v>
      </c>
      <c r="K18" s="92">
        <f>_xlfn.XLOOKUP($B18,Overview_Report!$B:$B,Overview_Report!K:K)</f>
        <v>9605.3558516513131</v>
      </c>
      <c r="L18" s="92">
        <f>_xlfn.XLOOKUP($B18,Overview_Report!$B:$B,Overview_Report!L:L)</f>
        <v>9730.1157919145426</v>
      </c>
      <c r="M18" s="92">
        <f>_xlfn.XLOOKUP($B18,Overview_Report!$B:$B,Overview_Report!M:M)</f>
        <v>9577.4699999999993</v>
      </c>
      <c r="N18" s="92">
        <f>_xlfn.XLOOKUP($B18,Overview_Report!$B:$B,Overview_Report!N:N)</f>
        <v>9686.0499999999993</v>
      </c>
      <c r="O18" s="92">
        <f>_xlfn.XLOOKUP($B18,Overview_Report!$B:$B,Overview_Report!O:O)</f>
        <v>10576.203516713305</v>
      </c>
      <c r="P18" s="92">
        <f>_xlfn.XLOOKUP($B18,Overview_Report!$B:$B,Overview_Report!P:P)</f>
        <v>10232.150000000001</v>
      </c>
      <c r="Q18" s="92">
        <f>_xlfn.XLOOKUP($B18,Overview_Report!$B:$B,Overview_Report!Q:Q)</f>
        <v>9955.7400000000016</v>
      </c>
      <c r="R18" s="92">
        <f>_xlfn.XLOOKUP($B18,Overview_Report!$B:$B,Overview_Report!R:R)</f>
        <v>9866.92</v>
      </c>
      <c r="S18" s="92">
        <f>_xlfn.XLOOKUP($B18,Overview_Report!$B:$B,Overview_Report!S:S)</f>
        <v>9510.11</v>
      </c>
      <c r="T18" s="92">
        <f>_xlfn.XLOOKUP($B18,Overview_Report!$B:$B,Overview_Report!T:T)</f>
        <v>11271.227700344791</v>
      </c>
      <c r="U18" s="92">
        <f>_xlfn.XLOOKUP($B18,Overview_Report!$B:$B,Overview_Report!U:U)</f>
        <v>9922.08</v>
      </c>
      <c r="V18" s="92">
        <f>_xlfn.XLOOKUP($B18,Overview_Report!$B:$B,Overview_Report!V:V)</f>
        <v>8213.43</v>
      </c>
      <c r="W18" s="92">
        <f>_xlfn.XLOOKUP($B18,Overview_Report!$B:$B,Overview_Report!W:W)</f>
        <v>7736.6696785654249</v>
      </c>
      <c r="X18" s="92">
        <f>_xlfn.XLOOKUP($B18,Overview_Report!$B:$B,Overview_Report!X:X)</f>
        <v>8425.5583824337591</v>
      </c>
      <c r="Y18" s="92">
        <f>_xlfn.XLOOKUP($B18,Overview_Report!$B:$B,Overview_Report!Y:Y)</f>
        <v>10522.060000000001</v>
      </c>
      <c r="Z18" s="92">
        <f>_xlfn.XLOOKUP($B18,Overview_Report!$B:$B,Overview_Report!Z:Z)</f>
        <v>10053.91</v>
      </c>
      <c r="AA18" s="92">
        <f>_xlfn.XLOOKUP($B18,Overview_Report!$B:$B,Overview_Report!AA:AA)</f>
        <v>9648.93</v>
      </c>
      <c r="AB18" s="92">
        <f>_xlfn.XLOOKUP($B18,Overview_Report!$B:$B,Overview_Report!AB:AB)</f>
        <v>8724.966999519349</v>
      </c>
      <c r="AC18" s="92">
        <f>_xlfn.XLOOKUP($B18,Overview_Report!$B:$B,Overview_Report!AC:AC)</f>
        <v>8859.7760910418092</v>
      </c>
      <c r="AD18" s="92">
        <f>_xlfn.XLOOKUP($B18,Overview_Report!$B:$B,Overview_Report!AD:AD)</f>
        <v>8737.901607962749</v>
      </c>
      <c r="AE18" s="92">
        <f>_xlfn.XLOOKUP($B18,Overview_Report!$B:$B,Overview_Report!AE:AE)</f>
        <v>8736.85</v>
      </c>
      <c r="AF18" s="92">
        <f>_xlfn.XLOOKUP($B18,Overview_Report!$B:$B,Overview_Report!AF:AF)</f>
        <v>8813.8880465297625</v>
      </c>
      <c r="AG18" s="92">
        <f>_xlfn.XLOOKUP($B18,Overview_Report!$B:$B,Overview_Report!AG:AG)</f>
        <v>11255.759999999998</v>
      </c>
      <c r="AH18" s="92">
        <f>_xlfn.XLOOKUP($B18,Overview_Report!$B:$B,Overview_Report!AH:AH)</f>
        <v>8833.2000000000007</v>
      </c>
    </row>
    <row r="19" spans="1:34" s="78" customFormat="1" x14ac:dyDescent="0.25">
      <c r="A19" s="5" t="s">
        <v>41</v>
      </c>
      <c r="B19" s="83" t="s">
        <v>8</v>
      </c>
      <c r="C19" s="89"/>
      <c r="D19" s="89"/>
      <c r="E19" s="89"/>
      <c r="F19" s="89"/>
      <c r="G19" s="89"/>
      <c r="H19" s="89"/>
      <c r="I19" s="92">
        <f>_xlfn.XLOOKUP($B19,Overview_Report!$B:$B,Overview_Report!I:I)</f>
        <v>3894.4361711872225</v>
      </c>
      <c r="J19" s="92">
        <f>_xlfn.XLOOKUP($B19,Overview_Report!$B:$B,Overview_Report!J:J)</f>
        <v>3725.5275866824445</v>
      </c>
      <c r="K19" s="92">
        <f>_xlfn.XLOOKUP($B19,Overview_Report!$B:$B,Overview_Report!K:K)</f>
        <v>3596.4441483486908</v>
      </c>
      <c r="L19" s="92">
        <f>_xlfn.XLOOKUP($B19,Overview_Report!$B:$B,Overview_Report!L:L)</f>
        <v>3562.7742080854564</v>
      </c>
      <c r="M19" s="92">
        <f>_xlfn.XLOOKUP($B19,Overview_Report!$B:$B,Overview_Report!M:M)</f>
        <v>3578.61</v>
      </c>
      <c r="N19" s="92">
        <f>_xlfn.XLOOKUP($B19,Overview_Report!$B:$B,Overview_Report!N:N)</f>
        <v>3393.69</v>
      </c>
      <c r="O19" s="92">
        <f>_xlfn.XLOOKUP($B19,Overview_Report!$B:$B,Overview_Report!O:O)</f>
        <v>3632.1564832866934</v>
      </c>
      <c r="P19" s="92">
        <f>_xlfn.XLOOKUP($B19,Overview_Report!$B:$B,Overview_Report!P:P)</f>
        <v>3602.37</v>
      </c>
      <c r="Q19" s="92">
        <f>_xlfn.XLOOKUP($B19,Overview_Report!$B:$B,Overview_Report!Q:Q)</f>
        <v>3656.9299999999994</v>
      </c>
      <c r="R19" s="92">
        <f>_xlfn.XLOOKUP($B19,Overview_Report!$B:$B,Overview_Report!R:R)</f>
        <v>3469.1899999999996</v>
      </c>
      <c r="S19" s="92">
        <f>_xlfn.XLOOKUP($B19,Overview_Report!$B:$B,Overview_Report!S:S)</f>
        <v>3889.34</v>
      </c>
      <c r="T19" s="92">
        <f>_xlfn.XLOOKUP($B19,Overview_Report!$B:$B,Overview_Report!T:T)</f>
        <v>4242.3722996552087</v>
      </c>
      <c r="U19" s="92">
        <f>_xlfn.XLOOKUP($B19,Overview_Report!$B:$B,Overview_Report!U:U)</f>
        <v>3472.46</v>
      </c>
      <c r="V19" s="92">
        <f>_xlfn.XLOOKUP($B19,Overview_Report!$B:$B,Overview_Report!V:V)</f>
        <v>2749.1800000000003</v>
      </c>
      <c r="W19" s="92">
        <f>_xlfn.XLOOKUP($B19,Overview_Report!$B:$B,Overview_Report!W:W)</f>
        <v>2400.7503214345743</v>
      </c>
      <c r="X19" s="92">
        <f>_xlfn.XLOOKUP($B19,Overview_Report!$B:$B,Overview_Report!X:X)</f>
        <v>3347.3916175662434</v>
      </c>
      <c r="Y19" s="92">
        <f>_xlfn.XLOOKUP($B19,Overview_Report!$B:$B,Overview_Report!Y:Y)</f>
        <v>3794.3700000000003</v>
      </c>
      <c r="Z19" s="92">
        <f>_xlfn.XLOOKUP($B19,Overview_Report!$B:$B,Overview_Report!Z:Z)</f>
        <v>4661.74</v>
      </c>
      <c r="AA19" s="92">
        <f>_xlfn.XLOOKUP($B19,Overview_Report!$B:$B,Overview_Report!AA:AA)</f>
        <v>4443.2599999999993</v>
      </c>
      <c r="AB19" s="92">
        <f>_xlfn.XLOOKUP($B19,Overview_Report!$B:$B,Overview_Report!AB:AB)</f>
        <v>3766.8130004806521</v>
      </c>
      <c r="AC19" s="92">
        <f>_xlfn.XLOOKUP($B19,Overview_Report!$B:$B,Overview_Report!AC:AC)</f>
        <v>3779.3439089581907</v>
      </c>
      <c r="AD19" s="92">
        <f>_xlfn.XLOOKUP($B19,Overview_Report!$B:$B,Overview_Report!AD:AD)</f>
        <v>3724.1983920372531</v>
      </c>
      <c r="AE19" s="92">
        <f>_xlfn.XLOOKUP($B19,Overview_Report!$B:$B,Overview_Report!AE:AE)</f>
        <v>3888.13</v>
      </c>
      <c r="AF19" s="92">
        <f>_xlfn.XLOOKUP($B19,Overview_Report!$B:$B,Overview_Report!AF:AF)</f>
        <v>4096.5119534702362</v>
      </c>
      <c r="AG19" s="92">
        <f>_xlfn.XLOOKUP($B19,Overview_Report!$B:$B,Overview_Report!AG:AG)</f>
        <v>4389.33</v>
      </c>
      <c r="AH19" s="92">
        <f>_xlfn.XLOOKUP($B19,Overview_Report!$B:$B,Overview_Report!AH:AH)</f>
        <v>3496.8</v>
      </c>
    </row>
    <row r="20" spans="1:34" x14ac:dyDescent="0.25">
      <c r="B20" s="83" t="s">
        <v>9</v>
      </c>
      <c r="C20" s="89"/>
      <c r="D20" s="89"/>
      <c r="E20" s="89"/>
      <c r="F20" s="89"/>
      <c r="G20" s="89"/>
      <c r="H20" s="89"/>
      <c r="I20" s="92">
        <f>_xlfn.XLOOKUP($B20,Overview_Report!$B:$B,Overview_Report!I:I)</f>
        <v>0</v>
      </c>
      <c r="J20" s="92">
        <f>_xlfn.XLOOKUP($B20,Overview_Report!$B:$B,Overview_Report!J:J)</f>
        <v>0</v>
      </c>
      <c r="K20" s="92">
        <f>_xlfn.XLOOKUP($B20,Overview_Report!$B:$B,Overview_Report!K:K)</f>
        <v>0</v>
      </c>
      <c r="L20" s="92">
        <f>_xlfn.XLOOKUP($B20,Overview_Report!$B:$B,Overview_Report!L:L)</f>
        <v>0</v>
      </c>
      <c r="M20" s="92">
        <f>_xlfn.XLOOKUP($B20,Overview_Report!$B:$B,Overview_Report!M:M)</f>
        <v>0</v>
      </c>
      <c r="N20" s="92">
        <f>_xlfn.XLOOKUP($B20,Overview_Report!$B:$B,Overview_Report!N:N)</f>
        <v>0</v>
      </c>
      <c r="O20" s="92">
        <f>_xlfn.XLOOKUP($B20,Overview_Report!$B:$B,Overview_Report!O:O)</f>
        <v>0</v>
      </c>
      <c r="P20" s="92">
        <f>_xlfn.XLOOKUP($B20,Overview_Report!$B:$B,Overview_Report!P:P)</f>
        <v>0</v>
      </c>
      <c r="Q20" s="92">
        <f>_xlfn.XLOOKUP($B20,Overview_Report!$B:$B,Overview_Report!Q:Q)</f>
        <v>0</v>
      </c>
      <c r="R20" s="92">
        <f>_xlfn.XLOOKUP($B20,Overview_Report!$B:$B,Overview_Report!R:R)</f>
        <v>0</v>
      </c>
      <c r="S20" s="92">
        <f>_xlfn.XLOOKUP($B20,Overview_Report!$B:$B,Overview_Report!S:S)</f>
        <v>0</v>
      </c>
      <c r="T20" s="92">
        <f>_xlfn.XLOOKUP($B20,Overview_Report!$B:$B,Overview_Report!T:T)</f>
        <v>0</v>
      </c>
      <c r="U20" s="92">
        <f>_xlfn.XLOOKUP($B20,Overview_Report!$B:$B,Overview_Report!U:U)</f>
        <v>0</v>
      </c>
      <c r="V20" s="92">
        <f>_xlfn.XLOOKUP($B20,Overview_Report!$B:$B,Overview_Report!V:V)</f>
        <v>0</v>
      </c>
      <c r="W20" s="92">
        <f>_xlfn.XLOOKUP($B20,Overview_Report!$B:$B,Overview_Report!W:W)</f>
        <v>0</v>
      </c>
      <c r="X20" s="92">
        <f>_xlfn.XLOOKUP($B20,Overview_Report!$B:$B,Overview_Report!X:X)</f>
        <v>0</v>
      </c>
      <c r="Y20" s="92">
        <f>_xlfn.XLOOKUP($B20,Overview_Report!$B:$B,Overview_Report!Y:Y)</f>
        <v>0</v>
      </c>
      <c r="Z20" s="92">
        <f>_xlfn.XLOOKUP($B20,Overview_Report!$B:$B,Overview_Report!Z:Z)</f>
        <v>0</v>
      </c>
      <c r="AA20" s="92">
        <f>_xlfn.XLOOKUP($B20,Overview_Report!$B:$B,Overview_Report!AA:AA)</f>
        <v>0</v>
      </c>
      <c r="AB20" s="92">
        <f>_xlfn.XLOOKUP($B20,Overview_Report!$B:$B,Overview_Report!AB:AB)</f>
        <v>0</v>
      </c>
      <c r="AC20" s="92">
        <f>_xlfn.XLOOKUP($B20,Overview_Report!$B:$B,Overview_Report!AC:AC)</f>
        <v>0</v>
      </c>
      <c r="AD20" s="92">
        <f>_xlfn.XLOOKUP($B20,Overview_Report!$B:$B,Overview_Report!AD:AD)</f>
        <v>0</v>
      </c>
      <c r="AE20" s="92">
        <f>_xlfn.XLOOKUP($B20,Overview_Report!$B:$B,Overview_Report!AE:AE)</f>
        <v>0</v>
      </c>
      <c r="AF20" s="92">
        <f>_xlfn.XLOOKUP($B20,Overview_Report!$B:$B,Overview_Report!AF:AF)</f>
        <v>0</v>
      </c>
      <c r="AG20" s="92">
        <f>_xlfn.XLOOKUP($B20,Overview_Report!$B:$B,Overview_Report!AG:AG)</f>
        <v>0</v>
      </c>
      <c r="AH20" s="92">
        <f>_xlfn.XLOOKUP($B20,Overview_Report!$B:$B,Overview_Report!AH:AH)</f>
        <v>0</v>
      </c>
    </row>
    <row r="21" spans="1:34" x14ac:dyDescent="0.25">
      <c r="A21" s="6" t="s">
        <v>14</v>
      </c>
      <c r="B21" t="s">
        <v>10</v>
      </c>
      <c r="C21" s="89"/>
      <c r="D21" s="89"/>
      <c r="E21" s="89"/>
      <c r="F21" s="89"/>
      <c r="G21" s="89"/>
      <c r="H21" s="89"/>
      <c r="I21" s="44">
        <f>_xlfn.XLOOKUP($B21,Overview_Report!$B:$B,Overview_Report!I:I)</f>
        <v>16906.350000000002</v>
      </c>
      <c r="J21" s="44">
        <f>_xlfn.XLOOKUP($B21,Overview_Report!$B:$B,Overview_Report!J:J)</f>
        <v>14087.160000000002</v>
      </c>
      <c r="K21" s="44">
        <f>_xlfn.XLOOKUP($B21,Overview_Report!$B:$B,Overview_Report!K:K)</f>
        <v>13201.800000000003</v>
      </c>
      <c r="L21" s="44">
        <f>_xlfn.XLOOKUP($B21,Overview_Report!$B:$B,Overview_Report!L:L)</f>
        <v>13292.889999999998</v>
      </c>
      <c r="M21" s="44">
        <f>_xlfn.XLOOKUP($B21,Overview_Report!$B:$B,Overview_Report!M:M)</f>
        <v>13156.079999999998</v>
      </c>
      <c r="N21" s="44">
        <f>_xlfn.XLOOKUP($B21,Overview_Report!$B:$B,Overview_Report!N:N)</f>
        <v>13079.739999999998</v>
      </c>
      <c r="O21" s="44">
        <f>_xlfn.XLOOKUP($B21,Overview_Report!$B:$B,Overview_Report!O:O)</f>
        <v>14208.36</v>
      </c>
      <c r="P21" s="44">
        <f>_xlfn.XLOOKUP($B21,Overview_Report!$B:$B,Overview_Report!P:P)</f>
        <v>13834.520000000002</v>
      </c>
      <c r="Q21" s="44">
        <f>_xlfn.XLOOKUP($B21,Overview_Report!$B:$B,Overview_Report!Q:Q)</f>
        <v>13612.67</v>
      </c>
      <c r="R21" s="44">
        <f>_xlfn.XLOOKUP($B21,Overview_Report!$B:$B,Overview_Report!R:R)</f>
        <v>13336.11</v>
      </c>
      <c r="S21" s="44">
        <f>_xlfn.XLOOKUP($B21,Overview_Report!$B:$B,Overview_Report!S:S)</f>
        <v>13399.449999999999</v>
      </c>
      <c r="T21" s="44">
        <f>_xlfn.XLOOKUP($B21,Overview_Report!$B:$B,Overview_Report!T:T)</f>
        <v>15513.6</v>
      </c>
      <c r="U21" s="44">
        <f>_xlfn.XLOOKUP($B21,Overview_Report!$B:$B,Overview_Report!U:U)</f>
        <v>13394.54</v>
      </c>
      <c r="V21" s="44">
        <f>_xlfn.XLOOKUP($B21,Overview_Report!$B:$B,Overview_Report!V:V)</f>
        <v>10962.609999999999</v>
      </c>
      <c r="W21" s="44">
        <f>_xlfn.XLOOKUP($B21,Overview_Report!$B:$B,Overview_Report!W:W)</f>
        <v>10137.419999999998</v>
      </c>
      <c r="X21" s="44">
        <f>_xlfn.XLOOKUP($B21,Overview_Report!$B:$B,Overview_Report!X:X)</f>
        <v>11772.950000000003</v>
      </c>
      <c r="Y21" s="44">
        <f>_xlfn.XLOOKUP($B21,Overview_Report!$B:$B,Overview_Report!Y:Y)</f>
        <v>14316.430000000002</v>
      </c>
      <c r="Z21" s="44">
        <f>_xlfn.XLOOKUP($B21,Overview_Report!$B:$B,Overview_Report!Z:Z)</f>
        <v>14715.650000000003</v>
      </c>
      <c r="AA21" s="44">
        <f>_xlfn.XLOOKUP($B21,Overview_Report!$B:$B,Overview_Report!AA:AA)</f>
        <v>14092.19</v>
      </c>
      <c r="AB21" s="44">
        <f>_xlfn.XLOOKUP($B21,Overview_Report!$B:$B,Overview_Report!AB:AB)</f>
        <v>12491.780000000002</v>
      </c>
      <c r="AC21" s="44">
        <f>_xlfn.XLOOKUP($B21,Overview_Report!$B:$B,Overview_Report!AC:AC)</f>
        <v>12639.119999999999</v>
      </c>
      <c r="AD21" s="44">
        <f>_xlfn.XLOOKUP($B21,Overview_Report!$B:$B,Overview_Report!AD:AD)</f>
        <v>12462.1</v>
      </c>
      <c r="AE21" s="44">
        <f>_xlfn.XLOOKUP($B21,Overview_Report!$B:$B,Overview_Report!AE:AE)</f>
        <v>12624.98</v>
      </c>
      <c r="AF21" s="44">
        <f>_xlfn.XLOOKUP($B21,Overview_Report!$B:$B,Overview_Report!AF:AF)</f>
        <v>12910.399999999998</v>
      </c>
      <c r="AG21" s="44">
        <f>_xlfn.XLOOKUP($B21,Overview_Report!$B:$B,Overview_Report!AG:AG)</f>
        <v>15645.09</v>
      </c>
      <c r="AH21" s="44">
        <f>_xlfn.XLOOKUP($B21,Overview_Report!$B:$B,Overview_Report!AH:AH)</f>
        <v>12330</v>
      </c>
    </row>
    <row r="22" spans="1:34" x14ac:dyDescent="0.25">
      <c r="B22" s="83" t="s">
        <v>11</v>
      </c>
      <c r="C22" s="89"/>
      <c r="D22" s="89"/>
      <c r="E22" s="89"/>
      <c r="F22" s="89"/>
      <c r="G22" s="89"/>
      <c r="H22" s="89"/>
      <c r="I22" s="92">
        <f>_xlfn.XLOOKUP($B22,Overview_Report!$B:$B,Overview_Report!I:I)</f>
        <v>11180.796999999999</v>
      </c>
      <c r="J22" s="92">
        <f>_xlfn.XLOOKUP($B22,Overview_Report!$B:$B,Overview_Report!J:J)</f>
        <v>8371.8130000000001</v>
      </c>
      <c r="K22" s="92">
        <f>_xlfn.XLOOKUP($B22,Overview_Report!$B:$B,Overview_Report!K:K)</f>
        <v>10117.606000000002</v>
      </c>
      <c r="L22" s="92">
        <f>_xlfn.XLOOKUP($B22,Overview_Report!$B:$B,Overview_Report!L:L)</f>
        <v>8669.8359999999993</v>
      </c>
      <c r="M22" s="92">
        <f>_xlfn.XLOOKUP($B22,Overview_Report!$B:$B,Overview_Report!M:M)</f>
        <v>8260.0560000000005</v>
      </c>
      <c r="N22" s="92">
        <f>_xlfn.XLOOKUP($B22,Overview_Report!$B:$B,Overview_Report!N:N)</f>
        <v>9513.43</v>
      </c>
      <c r="O22" s="92">
        <f>_xlfn.XLOOKUP($B22,Overview_Report!$B:$B,Overview_Report!O:O)</f>
        <v>10133.839999999998</v>
      </c>
      <c r="P22" s="92">
        <f>_xlfn.XLOOKUP($B22,Overview_Report!$B:$B,Overview_Report!P:P)</f>
        <v>9543.5000000000018</v>
      </c>
      <c r="Q22" s="92">
        <f>_xlfn.XLOOKUP($B22,Overview_Report!$B:$B,Overview_Report!Q:Q)</f>
        <v>9795</v>
      </c>
      <c r="R22" s="92">
        <f>_xlfn.XLOOKUP($B22,Overview_Report!$B:$B,Overview_Report!R:R)</f>
        <v>9766.619999999999</v>
      </c>
      <c r="S22" s="92">
        <f>_xlfn.XLOOKUP($B22,Overview_Report!$B:$B,Overview_Report!S:S)</f>
        <v>9361.33</v>
      </c>
      <c r="T22" s="92">
        <f>_xlfn.XLOOKUP($B22,Overview_Report!$B:$B,Overview_Report!T:T)</f>
        <v>9499.2000000000007</v>
      </c>
      <c r="U22" s="92">
        <f>_xlfn.XLOOKUP($B22,Overview_Report!$B:$B,Overview_Report!U:U)</f>
        <v>9012.2999999999975</v>
      </c>
      <c r="V22" s="92">
        <f>_xlfn.XLOOKUP($B22,Overview_Report!$B:$B,Overview_Report!V:V)</f>
        <v>7789.93</v>
      </c>
      <c r="W22" s="92">
        <f>_xlfn.XLOOKUP($B22,Overview_Report!$B:$B,Overview_Report!W:W)</f>
        <v>7887.95</v>
      </c>
      <c r="X22" s="92">
        <f>_xlfn.XLOOKUP($B22,Overview_Report!$B:$B,Overview_Report!X:X)</f>
        <v>9269.7100000000009</v>
      </c>
      <c r="Y22" s="92">
        <f>_xlfn.XLOOKUP($B22,Overview_Report!$B:$B,Overview_Report!Y:Y)</f>
        <v>9218.4399999999987</v>
      </c>
      <c r="Z22" s="92">
        <f>_xlfn.XLOOKUP($B22,Overview_Report!$B:$B,Overview_Report!Z:Z)</f>
        <v>9113.91</v>
      </c>
      <c r="AA22" s="92">
        <f>_xlfn.XLOOKUP($B22,Overview_Report!$B:$B,Overview_Report!AA:AA)</f>
        <v>5638.4599999999991</v>
      </c>
      <c r="AB22" s="92">
        <f>_xlfn.XLOOKUP($B22,Overview_Report!$B:$B,Overview_Report!AB:AB)</f>
        <v>6800.3499999999995</v>
      </c>
      <c r="AC22" s="92">
        <f>_xlfn.XLOOKUP($B22,Overview_Report!$B:$B,Overview_Report!AC:AC)</f>
        <v>8111.1399999999985</v>
      </c>
      <c r="AD22" s="92">
        <f>_xlfn.XLOOKUP($B22,Overview_Report!$B:$B,Overview_Report!AD:AD)</f>
        <v>8464.4600000000009</v>
      </c>
      <c r="AE22" s="92">
        <f>_xlfn.XLOOKUP($B22,Overview_Report!$B:$B,Overview_Report!AE:AE)</f>
        <v>8640.17</v>
      </c>
      <c r="AF22" s="92">
        <f>_xlfn.XLOOKUP($B22,Overview_Report!$B:$B,Overview_Report!AF:AF)</f>
        <v>8750.5199999999986</v>
      </c>
      <c r="AG22" s="92">
        <f>_xlfn.XLOOKUP($B22,Overview_Report!$B:$B,Overview_Report!AG:AG)</f>
        <v>9396.1299999999992</v>
      </c>
      <c r="AH22" s="92">
        <f>_xlfn.XLOOKUP($B22,Overview_Report!$B:$B,Overview_Report!AH:AH)</f>
        <v>8209.9900000000016</v>
      </c>
    </row>
    <row r="23" spans="1:34" x14ac:dyDescent="0.25">
      <c r="A23" s="73" t="s">
        <v>42</v>
      </c>
      <c r="B23" s="84" t="s">
        <v>12</v>
      </c>
      <c r="C23" s="90"/>
      <c r="D23" s="90"/>
      <c r="E23" s="90"/>
      <c r="F23" s="90"/>
      <c r="G23" s="90"/>
      <c r="H23" s="90"/>
      <c r="I23" s="93">
        <f>_xlfn.XLOOKUP($B23,Overview_Report!$B:$B,Overview_Report!I:I)</f>
        <v>28087.147000000004</v>
      </c>
      <c r="J23" s="93">
        <f>_xlfn.XLOOKUP($B23,Overview_Report!$B:$B,Overview_Report!J:J)</f>
        <v>22458.973000000002</v>
      </c>
      <c r="K23" s="93">
        <f>_xlfn.XLOOKUP($B23,Overview_Report!$B:$B,Overview_Report!K:K)</f>
        <v>23319.406000000006</v>
      </c>
      <c r="L23" s="93">
        <f>_xlfn.XLOOKUP($B23,Overview_Report!$B:$B,Overview_Report!L:L)</f>
        <v>21962.725999999991</v>
      </c>
      <c r="M23" s="93">
        <f>_xlfn.XLOOKUP($B23,Overview_Report!$B:$B,Overview_Report!M:M)</f>
        <v>21416.135999999999</v>
      </c>
      <c r="N23" s="93">
        <f>_xlfn.XLOOKUP($B23,Overview_Report!$B:$B,Overview_Report!N:N)</f>
        <v>22593.170000000006</v>
      </c>
      <c r="O23" s="93">
        <f>_xlfn.XLOOKUP($B23,Overview_Report!$B:$B,Overview_Report!O:O)</f>
        <v>24342.2</v>
      </c>
      <c r="P23" s="93">
        <f>_xlfn.XLOOKUP($B23,Overview_Report!$B:$B,Overview_Report!P:P)</f>
        <v>23378.02</v>
      </c>
      <c r="Q23" s="93">
        <f>_xlfn.XLOOKUP($B23,Overview_Report!$B:$B,Overview_Report!Q:Q)</f>
        <v>23407.670000000002</v>
      </c>
      <c r="R23" s="93">
        <f>_xlfn.XLOOKUP($B23,Overview_Report!$B:$B,Overview_Report!R:R)</f>
        <v>23102.730000000003</v>
      </c>
      <c r="S23" s="93">
        <f>_xlfn.XLOOKUP($B23,Overview_Report!$B:$B,Overview_Report!S:S)</f>
        <v>22760.78</v>
      </c>
      <c r="T23" s="93">
        <f>_xlfn.XLOOKUP($B23,Overview_Report!$B:$B,Overview_Report!T:T)</f>
        <v>25012.799999999999</v>
      </c>
      <c r="U23" s="93">
        <f>_xlfn.XLOOKUP($B23,Overview_Report!$B:$B,Overview_Report!U:U)</f>
        <v>22406.839999999997</v>
      </c>
      <c r="V23" s="93">
        <f>_xlfn.XLOOKUP($B23,Overview_Report!$B:$B,Overview_Report!V:V)</f>
        <v>18752.54</v>
      </c>
      <c r="W23" s="93">
        <f>_xlfn.XLOOKUP($B23,Overview_Report!$B:$B,Overview_Report!W:W)</f>
        <v>18025.369999999995</v>
      </c>
      <c r="X23" s="93">
        <f>_xlfn.XLOOKUP($B23,Overview_Report!$B:$B,Overview_Report!X:X)</f>
        <v>21042.660000000003</v>
      </c>
      <c r="Y23" s="93">
        <f>_xlfn.XLOOKUP($B23,Overview_Report!$B:$B,Overview_Report!Y:Y)</f>
        <v>23534.870000000003</v>
      </c>
      <c r="Z23" s="93">
        <f>_xlfn.XLOOKUP($B23,Overview_Report!$B:$B,Overview_Report!Z:Z)</f>
        <v>23829.560000000005</v>
      </c>
      <c r="AA23" s="93">
        <f>_xlfn.XLOOKUP($B23,Overview_Report!$B:$B,Overview_Report!AA:AA)</f>
        <v>19730.650000000001</v>
      </c>
      <c r="AB23" s="93">
        <f>_xlfn.XLOOKUP($B23,Overview_Report!$B:$B,Overview_Report!AB:AB)</f>
        <v>19292.130000000008</v>
      </c>
      <c r="AC23" s="93">
        <f>_xlfn.XLOOKUP($B23,Overview_Report!$B:$B,Overview_Report!AC:AC)</f>
        <v>20750.259999999998</v>
      </c>
      <c r="AD23" s="93">
        <f>_xlfn.XLOOKUP($B23,Overview_Report!$B:$B,Overview_Report!AD:AD)</f>
        <v>20926.559999999998</v>
      </c>
      <c r="AE23" s="93">
        <f>_xlfn.XLOOKUP($B23,Overview_Report!$B:$B,Overview_Report!AE:AE)</f>
        <v>21265.15</v>
      </c>
      <c r="AF23" s="93">
        <f>_xlfn.XLOOKUP($B23,Overview_Report!$B:$B,Overview_Report!AF:AF)</f>
        <v>21660.920000000002</v>
      </c>
      <c r="AG23" s="93">
        <f>_xlfn.XLOOKUP($B23,Overview_Report!$B:$B,Overview_Report!AG:AG)</f>
        <v>25041.219999999998</v>
      </c>
      <c r="AH23" s="93">
        <f>_xlfn.XLOOKUP($B23,Overview_Report!$B:$B,Overview_Report!AH:AH)</f>
        <v>20539.990000000002</v>
      </c>
    </row>
    <row r="24" spans="1:34" x14ac:dyDescent="0.25">
      <c r="B24" t="s">
        <v>13</v>
      </c>
      <c r="C24" s="94"/>
      <c r="D24" s="94"/>
      <c r="E24" s="94"/>
      <c r="F24" s="94"/>
      <c r="G24" s="94"/>
      <c r="H24" s="94"/>
      <c r="I24" s="95">
        <f>_xlfn.XLOOKUP($B24,Overview_Report!$B:$B,Overview_Report!I:I)</f>
        <v>6.4999999999999988E-2</v>
      </c>
      <c r="J24" s="95">
        <f>_xlfn.XLOOKUP($B24,Overview_Report!$B:$B,Overview_Report!J:J)</f>
        <v>6.4999999999999988E-2</v>
      </c>
      <c r="K24" s="95">
        <f>_xlfn.XLOOKUP($B24,Overview_Report!$B:$B,Overview_Report!K:K)</f>
        <v>6.5000000000000002E-2</v>
      </c>
      <c r="L24" s="95">
        <f>_xlfn.XLOOKUP($B24,Overview_Report!$B:$B,Overview_Report!L:L)</f>
        <v>6.5000000000000002E-2</v>
      </c>
      <c r="M24" s="95">
        <f>_xlfn.XLOOKUP($B24,Overview_Report!$B:$B,Overview_Report!M:M)</f>
        <v>6.5000000000000002E-2</v>
      </c>
      <c r="N24" s="95">
        <f>_xlfn.XLOOKUP($B24,Overview_Report!$B:$B,Overview_Report!N:N)</f>
        <v>6.5000000000000016E-2</v>
      </c>
      <c r="O24" s="95">
        <f>_xlfn.XLOOKUP($B24,Overview_Report!$B:$B,Overview_Report!O:O)</f>
        <v>6.4999999999999988E-2</v>
      </c>
      <c r="P24" s="95">
        <f>_xlfn.XLOOKUP($B24,Overview_Report!$B:$B,Overview_Report!P:P)</f>
        <v>6.4999999999999988E-2</v>
      </c>
      <c r="Q24" s="95">
        <f>_xlfn.XLOOKUP($B24,Overview_Report!$B:$B,Overview_Report!Q:Q)</f>
        <v>6.5000000000000002E-2</v>
      </c>
      <c r="R24" s="95">
        <f>_xlfn.XLOOKUP($B24,Overview_Report!$B:$B,Overview_Report!R:R)</f>
        <v>6.5000000000000002E-2</v>
      </c>
      <c r="S24" s="95">
        <f>_xlfn.XLOOKUP($B24,Overview_Report!$B:$B,Overview_Report!S:S)</f>
        <v>6.5000000000000002E-2</v>
      </c>
      <c r="T24" s="95">
        <f>_xlfn.XLOOKUP($B24,Overview_Report!$B:$B,Overview_Report!T:T)</f>
        <v>6.5000000000000002E-2</v>
      </c>
      <c r="U24" s="95">
        <f>_xlfn.XLOOKUP($B24,Overview_Report!$B:$B,Overview_Report!U:U)</f>
        <v>6.4999999999999988E-2</v>
      </c>
      <c r="V24" s="95">
        <f>_xlfn.XLOOKUP($B24,Overview_Report!$B:$B,Overview_Report!V:V)</f>
        <v>6.5000000000000002E-2</v>
      </c>
      <c r="W24" s="95">
        <f>_xlfn.XLOOKUP($B24,Overview_Report!$B:$B,Overview_Report!W:W)</f>
        <v>6.5000000000000002E-2</v>
      </c>
      <c r="X24" s="95">
        <f>_xlfn.XLOOKUP($B24,Overview_Report!$B:$B,Overview_Report!X:X)</f>
        <v>6.5000000000000002E-2</v>
      </c>
      <c r="Y24" s="95">
        <f>_xlfn.XLOOKUP($B24,Overview_Report!$B:$B,Overview_Report!Y:Y)</f>
        <v>6.4999999999999988E-2</v>
      </c>
      <c r="Z24" s="95">
        <f>_xlfn.XLOOKUP($B24,Overview_Report!$B:$B,Overview_Report!Z:Z)</f>
        <v>6.4999999999999988E-2</v>
      </c>
      <c r="AA24" s="95">
        <f>_xlfn.XLOOKUP($B24,Overview_Report!$B:$B,Overview_Report!AA:AA)</f>
        <v>6.5000000000000002E-2</v>
      </c>
      <c r="AB24" s="95">
        <f>_xlfn.XLOOKUP($B24,Overview_Report!$B:$B,Overview_Report!AB:AB)</f>
        <v>6.5000000000000002E-2</v>
      </c>
      <c r="AC24" s="95">
        <f>_xlfn.XLOOKUP($B24,Overview_Report!$B:$B,Overview_Report!AC:AC)</f>
        <v>6.5000000000000016E-2</v>
      </c>
      <c r="AD24" s="95">
        <f>_xlfn.XLOOKUP($B24,Overview_Report!$B:$B,Overview_Report!AD:AD)</f>
        <v>6.5000000000000016E-2</v>
      </c>
      <c r="AE24" s="95">
        <f>_xlfn.XLOOKUP($B24,Overview_Report!$B:$B,Overview_Report!AE:AE)</f>
        <v>6.5000000000000002E-2</v>
      </c>
      <c r="AF24" s="95">
        <f>_xlfn.XLOOKUP($B24,Overview_Report!$B:$B,Overview_Report!AF:AF)</f>
        <v>6.5000000000000016E-2</v>
      </c>
      <c r="AG24" s="95">
        <f>_xlfn.XLOOKUP($B24,Overview_Report!$B:$B,Overview_Report!AG:AG)</f>
        <v>6.5000000000000002E-2</v>
      </c>
      <c r="AH24" s="95">
        <f>_xlfn.XLOOKUP($B24,Overview_Report!$B:$B,Overview_Report!AH:AH)</f>
        <v>6.5000000000000016E-2</v>
      </c>
    </row>
    <row r="25" spans="1:34" x14ac:dyDescent="0.25">
      <c r="B25" s="85" t="s">
        <v>14</v>
      </c>
      <c r="C25" s="89"/>
      <c r="D25" s="89"/>
      <c r="E25" s="89"/>
      <c r="F25" s="89"/>
      <c r="G25" s="89"/>
      <c r="H25" s="89"/>
      <c r="I25" s="96">
        <f>_xlfn.XLOOKUP($B25,Overview_Report!$B:$B,Overview_Report!I:I)</f>
        <v>1098.91275</v>
      </c>
      <c r="J25" s="96">
        <f>_xlfn.XLOOKUP($B25,Overview_Report!$B:$B,Overview_Report!J:J)</f>
        <v>915.66539999999986</v>
      </c>
      <c r="K25" s="96">
        <f>_xlfn.XLOOKUP($B25,Overview_Report!$B:$B,Overview_Report!K:K)</f>
        <v>858.11700000000019</v>
      </c>
      <c r="L25" s="96">
        <f>_xlfn.XLOOKUP($B25,Overview_Report!$B:$B,Overview_Report!L:L)</f>
        <v>864.03784999999982</v>
      </c>
      <c r="M25" s="96">
        <f>_xlfn.XLOOKUP($B25,Overview_Report!$B:$B,Overview_Report!M:M)</f>
        <v>855.14519999999993</v>
      </c>
      <c r="N25" s="96">
        <f>_xlfn.XLOOKUP($B25,Overview_Report!$B:$B,Overview_Report!N:N)</f>
        <v>850.18310000000008</v>
      </c>
      <c r="O25" s="96">
        <f>_xlfn.XLOOKUP($B25,Overview_Report!$B:$B,Overview_Report!O:O)</f>
        <v>923.54339999999991</v>
      </c>
      <c r="P25" s="96">
        <f>_xlfn.XLOOKUP($B25,Overview_Report!$B:$B,Overview_Report!P:P)</f>
        <v>899.24379999999996</v>
      </c>
      <c r="Q25" s="96">
        <f>_xlfn.XLOOKUP($B25,Overview_Report!$B:$B,Overview_Report!Q:Q)</f>
        <v>884.82355000000007</v>
      </c>
      <c r="R25" s="96">
        <f>_xlfn.XLOOKUP($B25,Overview_Report!$B:$B,Overview_Report!R:R)</f>
        <v>866.84715000000006</v>
      </c>
      <c r="S25" s="96">
        <f>_xlfn.XLOOKUP($B25,Overview_Report!$B:$B,Overview_Report!S:S)</f>
        <v>870.96424999999999</v>
      </c>
      <c r="T25" s="96">
        <f>_xlfn.XLOOKUP($B25,Overview_Report!$B:$B,Overview_Report!T:T)</f>
        <v>1008.384</v>
      </c>
      <c r="U25" s="96">
        <f>_xlfn.XLOOKUP($B25,Overview_Report!$B:$B,Overview_Report!U:U)</f>
        <v>870.64509999999996</v>
      </c>
      <c r="V25" s="96">
        <f>_xlfn.XLOOKUP($B25,Overview_Report!$B:$B,Overview_Report!V:V)</f>
        <v>712.56964999999991</v>
      </c>
      <c r="W25" s="96">
        <f>_xlfn.XLOOKUP($B25,Overview_Report!$B:$B,Overview_Report!W:W)</f>
        <v>658.93229999999994</v>
      </c>
      <c r="X25" s="96">
        <f>_xlfn.XLOOKUP($B25,Overview_Report!$B:$B,Overview_Report!X:X)</f>
        <v>765.24175000000014</v>
      </c>
      <c r="Y25" s="96">
        <f>_xlfn.XLOOKUP($B25,Overview_Report!$B:$B,Overview_Report!Y:Y)</f>
        <v>930.56795</v>
      </c>
      <c r="Z25" s="96">
        <f>_xlfn.XLOOKUP($B25,Overview_Report!$B:$B,Overview_Report!Z:Z)</f>
        <v>956.5172500000001</v>
      </c>
      <c r="AA25" s="96">
        <f>_xlfn.XLOOKUP($B25,Overview_Report!$B:$B,Overview_Report!AA:AA)</f>
        <v>915.99234999999999</v>
      </c>
      <c r="AB25" s="96">
        <f>_xlfn.XLOOKUP($B25,Overview_Report!$B:$B,Overview_Report!AB:AB)</f>
        <v>811.9657000000002</v>
      </c>
      <c r="AC25" s="96">
        <f>_xlfn.XLOOKUP($B25,Overview_Report!$B:$B,Overview_Report!AC:AC)</f>
        <v>821.54280000000017</v>
      </c>
      <c r="AD25" s="96">
        <f>_xlfn.XLOOKUP($B25,Overview_Report!$B:$B,Overview_Report!AD:AD)</f>
        <v>810.03650000000016</v>
      </c>
      <c r="AE25" s="96">
        <f>_xlfn.XLOOKUP($B25,Overview_Report!$B:$B,Overview_Report!AE:AE)</f>
        <v>820.62369999999999</v>
      </c>
      <c r="AF25" s="96">
        <f>_xlfn.XLOOKUP($B25,Overview_Report!$B:$B,Overview_Report!AF:AF)</f>
        <v>839.17600000000004</v>
      </c>
      <c r="AG25" s="96">
        <f>_xlfn.XLOOKUP($B25,Overview_Report!$B:$B,Overview_Report!AG:AG)</f>
        <v>1016.93085</v>
      </c>
      <c r="AH25" s="96">
        <f>_xlfn.XLOOKUP($B25,Overview_Report!$B:$B,Overview_Report!AH:AH)</f>
        <v>801.45000000000016</v>
      </c>
    </row>
    <row r="26" spans="1:34" x14ac:dyDescent="0.25">
      <c r="B26" s="85" t="s">
        <v>15</v>
      </c>
      <c r="C26" s="97"/>
      <c r="D26" s="97"/>
      <c r="E26" s="97"/>
      <c r="F26" s="97"/>
      <c r="G26" s="97"/>
      <c r="H26" s="97"/>
      <c r="I26" s="102">
        <f>_xlfn.XLOOKUP($B26,Overview_Report!$B:$B,Overview_Report!I:I)</f>
        <v>6.4</v>
      </c>
      <c r="J26" s="102">
        <f>_xlfn.XLOOKUP($B26,Overview_Report!$B:$B,Overview_Report!J:J)</f>
        <v>6.4000000000000012</v>
      </c>
      <c r="K26" s="102">
        <f>_xlfn.XLOOKUP($B26,Overview_Report!$B:$B,Overview_Report!K:K)</f>
        <v>6.4000000000000012</v>
      </c>
      <c r="L26" s="102">
        <f>_xlfn.XLOOKUP($B26,Overview_Report!$B:$B,Overview_Report!L:L)</f>
        <v>6.4000000000000012</v>
      </c>
      <c r="M26" s="102">
        <f>_xlfn.XLOOKUP($B26,Overview_Report!$B:$B,Overview_Report!M:M)</f>
        <v>6.4000000000000012</v>
      </c>
      <c r="N26" s="102">
        <f>_xlfn.XLOOKUP($B26,Overview_Report!$B:$B,Overview_Report!N:N)</f>
        <v>6.3999999999999995</v>
      </c>
      <c r="O26" s="102">
        <f>_xlfn.XLOOKUP($B26,Overview_Report!$B:$B,Overview_Report!O:O)</f>
        <v>6.4</v>
      </c>
      <c r="P26" s="102">
        <f>_xlfn.XLOOKUP($B26,Overview_Report!$B:$B,Overview_Report!P:P)</f>
        <v>6.4000000000000012</v>
      </c>
      <c r="Q26" s="102">
        <f>_xlfn.XLOOKUP($B26,Overview_Report!$B:$B,Overview_Report!Q:Q)</f>
        <v>6.4</v>
      </c>
      <c r="R26" s="102">
        <f>_xlfn.XLOOKUP($B26,Overview_Report!$B:$B,Overview_Report!R:R)</f>
        <v>6.4</v>
      </c>
      <c r="S26" s="102">
        <f>_xlfn.XLOOKUP($B26,Overview_Report!$B:$B,Overview_Report!S:S)</f>
        <v>6.4000000000000012</v>
      </c>
      <c r="T26" s="102">
        <f>_xlfn.XLOOKUP($B26,Overview_Report!$B:$B,Overview_Report!T:T)</f>
        <v>6.3999999999999986</v>
      </c>
      <c r="U26" s="102">
        <f>_xlfn.XLOOKUP($B26,Overview_Report!$B:$B,Overview_Report!U:U)</f>
        <v>6.4000000000000012</v>
      </c>
      <c r="V26" s="102">
        <f>_xlfn.XLOOKUP($B26,Overview_Report!$B:$B,Overview_Report!V:V)</f>
        <v>6.4</v>
      </c>
      <c r="W26" s="102">
        <f>_xlfn.XLOOKUP($B26,Overview_Report!$B:$B,Overview_Report!W:W)</f>
        <v>6.4000000000000012</v>
      </c>
      <c r="X26" s="102">
        <f>_xlfn.XLOOKUP($B26,Overview_Report!$B:$B,Overview_Report!X:X)</f>
        <v>6.4</v>
      </c>
      <c r="Y26" s="102">
        <f>_xlfn.XLOOKUP($B26,Overview_Report!$B:$B,Overview_Report!Y:Y)</f>
        <v>6.3999999999999995</v>
      </c>
      <c r="Z26" s="102">
        <f>_xlfn.XLOOKUP($B26,Overview_Report!$B:$B,Overview_Report!Z:Z)</f>
        <v>6.3999999999999995</v>
      </c>
      <c r="AA26" s="102">
        <f>_xlfn.XLOOKUP($B26,Overview_Report!$B:$B,Overview_Report!AA:AA)</f>
        <v>6.4000000000000012</v>
      </c>
      <c r="AB26" s="102">
        <f>_xlfn.XLOOKUP($B26,Overview_Report!$B:$B,Overview_Report!AB:AB)</f>
        <v>6.4</v>
      </c>
      <c r="AC26" s="102">
        <f>_xlfn.XLOOKUP($B26,Overview_Report!$B:$B,Overview_Report!AC:AC)</f>
        <v>6.3999999999999995</v>
      </c>
      <c r="AD26" s="102">
        <f>_xlfn.XLOOKUP($B26,Overview_Report!$B:$B,Overview_Report!AD:AD)</f>
        <v>6.4</v>
      </c>
      <c r="AE26" s="102">
        <f>_xlfn.XLOOKUP($B26,Overview_Report!$B:$B,Overview_Report!AE:AE)</f>
        <v>6.4000000000000012</v>
      </c>
      <c r="AF26" s="102">
        <f>_xlfn.XLOOKUP($B26,Overview_Report!$B:$B,Overview_Report!AF:AF)</f>
        <v>6.4</v>
      </c>
      <c r="AG26" s="102">
        <f>_xlfn.XLOOKUP($B26,Overview_Report!$B:$B,Overview_Report!AG:AG)</f>
        <v>6.4</v>
      </c>
      <c r="AH26" s="102">
        <f>_xlfn.XLOOKUP($B26,Overview_Report!$B:$B,Overview_Report!AH:AH)</f>
        <v>6.3999999999999986</v>
      </c>
    </row>
    <row r="27" spans="1:34" x14ac:dyDescent="0.25">
      <c r="A27" s="7"/>
      <c r="B27" t="s">
        <v>16</v>
      </c>
      <c r="C27" s="97"/>
      <c r="D27" s="97"/>
      <c r="E27" s="97"/>
      <c r="F27" s="97"/>
      <c r="G27" s="97"/>
      <c r="H27" s="97"/>
      <c r="I27" s="98">
        <f>_xlfn.XLOOKUP($B27,Overview_Report!$B:$B,Overview_Report!I:I)</f>
        <v>1.26</v>
      </c>
      <c r="J27" s="98">
        <f>_xlfn.XLOOKUP($B27,Overview_Report!$B:$B,Overview_Report!J:J)</f>
        <v>1.26</v>
      </c>
      <c r="K27" s="98">
        <f>_xlfn.XLOOKUP($B27,Overview_Report!$B:$B,Overview_Report!K:K)</f>
        <v>1.26</v>
      </c>
      <c r="L27" s="98">
        <f>_xlfn.XLOOKUP($B27,Overview_Report!$B:$B,Overview_Report!L:L)</f>
        <v>1.2600000000000002</v>
      </c>
      <c r="M27" s="98">
        <f>_xlfn.XLOOKUP($B27,Overview_Report!$B:$B,Overview_Report!M:M)</f>
        <v>1.2599999999999998</v>
      </c>
      <c r="N27" s="98">
        <f>_xlfn.XLOOKUP($B27,Overview_Report!$B:$B,Overview_Report!N:N)</f>
        <v>1.26</v>
      </c>
      <c r="O27" s="98">
        <f>_xlfn.XLOOKUP($B27,Overview_Report!$B:$B,Overview_Report!O:O)</f>
        <v>1.2600000000000002</v>
      </c>
      <c r="P27" s="98">
        <f>_xlfn.XLOOKUP($B27,Overview_Report!$B:$B,Overview_Report!P:P)</f>
        <v>1.2599999999999998</v>
      </c>
      <c r="Q27" s="98">
        <f>_xlfn.XLOOKUP($B27,Overview_Report!$B:$B,Overview_Report!Q:Q)</f>
        <v>1.2599999999999998</v>
      </c>
      <c r="R27" s="98">
        <f>_xlfn.XLOOKUP($B27,Overview_Report!$B:$B,Overview_Report!R:R)</f>
        <v>1.26</v>
      </c>
      <c r="S27" s="98">
        <f>_xlfn.XLOOKUP($B27,Overview_Report!$B:$B,Overview_Report!S:S)</f>
        <v>1.26</v>
      </c>
      <c r="T27" s="98">
        <f>_xlfn.XLOOKUP($B27,Overview_Report!$B:$B,Overview_Report!T:T)</f>
        <v>1.26</v>
      </c>
      <c r="U27" s="98">
        <f>_xlfn.XLOOKUP($B27,Overview_Report!$B:$B,Overview_Report!U:U)</f>
        <v>1.26</v>
      </c>
      <c r="V27" s="98">
        <f>_xlfn.XLOOKUP($B27,Overview_Report!$B:$B,Overview_Report!V:V)</f>
        <v>1.2600000000000002</v>
      </c>
      <c r="W27" s="98">
        <f>_xlfn.XLOOKUP($B27,Overview_Report!$B:$B,Overview_Report!W:W)</f>
        <v>1.2600000000000002</v>
      </c>
      <c r="X27" s="98">
        <f>_xlfn.XLOOKUP($B27,Overview_Report!$B:$B,Overview_Report!X:X)</f>
        <v>1.26</v>
      </c>
      <c r="Y27" s="98">
        <f>_xlfn.XLOOKUP($B27,Overview_Report!$B:$B,Overview_Report!Y:Y)</f>
        <v>1.26</v>
      </c>
      <c r="Z27" s="98">
        <f>_xlfn.XLOOKUP($B27,Overview_Report!$B:$B,Overview_Report!Z:Z)</f>
        <v>1.2599999999999998</v>
      </c>
      <c r="AA27" s="98">
        <f>_xlfn.XLOOKUP($B27,Overview_Report!$B:$B,Overview_Report!AA:AA)</f>
        <v>1.2600000000000002</v>
      </c>
      <c r="AB27" s="98">
        <f>_xlfn.XLOOKUP($B27,Overview_Report!$B:$B,Overview_Report!AB:AB)</f>
        <v>1.2600000000000002</v>
      </c>
      <c r="AC27" s="98">
        <f>_xlfn.XLOOKUP($B27,Overview_Report!$B:$B,Overview_Report!AC:AC)</f>
        <v>1.26</v>
      </c>
      <c r="AD27" s="98">
        <f>_xlfn.XLOOKUP($B27,Overview_Report!$B:$B,Overview_Report!AD:AD)</f>
        <v>1.26</v>
      </c>
      <c r="AE27" s="98">
        <f>_xlfn.XLOOKUP($B27,Overview_Report!$B:$B,Overview_Report!AE:AE)</f>
        <v>1.2599999999999998</v>
      </c>
      <c r="AF27" s="98">
        <f>_xlfn.XLOOKUP($B27,Overview_Report!$B:$B,Overview_Report!AF:AF)</f>
        <v>1.26</v>
      </c>
      <c r="AG27" s="98">
        <f>_xlfn.XLOOKUP($B27,Overview_Report!$B:$B,Overview_Report!AG:AG)</f>
        <v>1.2600000000000002</v>
      </c>
      <c r="AH27" s="98">
        <f>_xlfn.XLOOKUP($B27,Overview_Report!$B:$B,Overview_Report!AH:AH)</f>
        <v>1.26</v>
      </c>
    </row>
    <row r="28" spans="1:34" x14ac:dyDescent="0.25">
      <c r="B28" t="s">
        <v>17</v>
      </c>
      <c r="C28" s="97"/>
      <c r="D28" s="97"/>
      <c r="E28" s="97"/>
      <c r="F28" s="97"/>
      <c r="G28" s="97"/>
      <c r="H28" s="97"/>
      <c r="I28" s="98">
        <f>_xlfn.XLOOKUP($B28,Overview_Report!$B:$B,Overview_Report!I:I)</f>
        <v>1.5</v>
      </c>
      <c r="J28" s="98">
        <f>_xlfn.XLOOKUP($B28,Overview_Report!$B:$B,Overview_Report!J:J)</f>
        <v>1.4999999999999998</v>
      </c>
      <c r="K28" s="98">
        <f>_xlfn.XLOOKUP($B28,Overview_Report!$B:$B,Overview_Report!K:K)</f>
        <v>1.5</v>
      </c>
      <c r="L28" s="98">
        <f>_xlfn.XLOOKUP($B28,Overview_Report!$B:$B,Overview_Report!L:L)</f>
        <v>1.5</v>
      </c>
      <c r="M28" s="98">
        <f>_xlfn.XLOOKUP($B28,Overview_Report!$B:$B,Overview_Report!M:M)</f>
        <v>1.5000000000000004</v>
      </c>
      <c r="N28" s="98">
        <f>_xlfn.XLOOKUP($B28,Overview_Report!$B:$B,Overview_Report!N:N)</f>
        <v>1.5000000000000004</v>
      </c>
      <c r="O28" s="98">
        <f>_xlfn.XLOOKUP($B28,Overview_Report!$B:$B,Overview_Report!O:O)</f>
        <v>1.4999999999999998</v>
      </c>
      <c r="P28" s="98">
        <f>_xlfn.XLOOKUP($B28,Overview_Report!$B:$B,Overview_Report!P:P)</f>
        <v>1.4999999999999996</v>
      </c>
      <c r="Q28" s="98">
        <f>_xlfn.XLOOKUP($B28,Overview_Report!$B:$B,Overview_Report!Q:Q)</f>
        <v>1.4999999999999998</v>
      </c>
      <c r="R28" s="98">
        <f>_xlfn.XLOOKUP($B28,Overview_Report!$B:$B,Overview_Report!R:R)</f>
        <v>1.5</v>
      </c>
      <c r="S28" s="98">
        <f>_xlfn.XLOOKUP($B28,Overview_Report!$B:$B,Overview_Report!S:S)</f>
        <v>1.5</v>
      </c>
      <c r="T28" s="98">
        <f>_xlfn.XLOOKUP($B28,Overview_Report!$B:$B,Overview_Report!T:T)</f>
        <v>1.4999999999999998</v>
      </c>
      <c r="U28" s="98">
        <f>_xlfn.XLOOKUP($B28,Overview_Report!$B:$B,Overview_Report!U:U)</f>
        <v>1.5</v>
      </c>
      <c r="V28" s="98">
        <f>_xlfn.XLOOKUP($B28,Overview_Report!$B:$B,Overview_Report!V:V)</f>
        <v>1.5000000000000002</v>
      </c>
      <c r="W28" s="98">
        <f>_xlfn.XLOOKUP($B28,Overview_Report!$B:$B,Overview_Report!W:W)</f>
        <v>1.4999999999999998</v>
      </c>
      <c r="X28" s="98">
        <f>_xlfn.XLOOKUP($B28,Overview_Report!$B:$B,Overview_Report!X:X)</f>
        <v>1.5</v>
      </c>
      <c r="Y28" s="98">
        <f>_xlfn.XLOOKUP($B28,Overview_Report!$B:$B,Overview_Report!Y:Y)</f>
        <v>1.4999999999999996</v>
      </c>
      <c r="Z28" s="98">
        <f>_xlfn.XLOOKUP($B28,Overview_Report!$B:$B,Overview_Report!Z:Z)</f>
        <v>1.4999999999999996</v>
      </c>
      <c r="AA28" s="98">
        <f>_xlfn.XLOOKUP($B28,Overview_Report!$B:$B,Overview_Report!AA:AA)</f>
        <v>1.4999999999999996</v>
      </c>
      <c r="AB28" s="98">
        <f>_xlfn.XLOOKUP($B28,Overview_Report!$B:$B,Overview_Report!AB:AB)</f>
        <v>1.5000000000000002</v>
      </c>
      <c r="AC28" s="98">
        <f>_xlfn.XLOOKUP($B28,Overview_Report!$B:$B,Overview_Report!AC:AC)</f>
        <v>1.5</v>
      </c>
      <c r="AD28" s="98">
        <f>_xlfn.XLOOKUP($B28,Overview_Report!$B:$B,Overview_Report!AD:AD)</f>
        <v>1.5</v>
      </c>
      <c r="AE28" s="98">
        <f>_xlfn.XLOOKUP($B28,Overview_Report!$B:$B,Overview_Report!AE:AE)</f>
        <v>1.4999999999999998</v>
      </c>
      <c r="AF28" s="98">
        <f>_xlfn.XLOOKUP($B28,Overview_Report!$B:$B,Overview_Report!AF:AF)</f>
        <v>1.5</v>
      </c>
      <c r="AG28" s="98">
        <f>_xlfn.XLOOKUP($B28,Overview_Report!$B:$B,Overview_Report!AG:AG)</f>
        <v>1.5000000000000002</v>
      </c>
      <c r="AH28" s="98">
        <f>_xlfn.XLOOKUP($B28,Overview_Report!$B:$B,Overview_Report!AH:AH)</f>
        <v>1.4999999999999996</v>
      </c>
    </row>
    <row r="29" spans="1:34" x14ac:dyDescent="0.25">
      <c r="A29" s="8" t="s">
        <v>43</v>
      </c>
      <c r="B29" t="s">
        <v>42</v>
      </c>
      <c r="I29" s="106">
        <f>_xlfn.XLOOKUP($B29,Overview_Report!$B:$B,Overview_Report!I:I)</f>
        <v>7033.0416000000005</v>
      </c>
      <c r="J29" s="106">
        <f>_xlfn.XLOOKUP($B29,Overview_Report!$B:$B,Overview_Report!J:J)</f>
        <v>5860.2585600000002</v>
      </c>
      <c r="K29" s="106">
        <f>_xlfn.XLOOKUP($B29,Overview_Report!$B:$B,Overview_Report!K:K)</f>
        <v>5491.9488000000019</v>
      </c>
      <c r="L29" s="106">
        <f>_xlfn.XLOOKUP($B29,Overview_Report!$B:$B,Overview_Report!L:L)</f>
        <v>5529.8422399999999</v>
      </c>
      <c r="M29" s="106">
        <f>_xlfn.XLOOKUP($B29,Overview_Report!$B:$B,Overview_Report!M:M)</f>
        <v>5472.9292800000003</v>
      </c>
      <c r="N29" s="106">
        <f>_xlfn.XLOOKUP($B29,Overview_Report!$B:$B,Overview_Report!N:N)</f>
        <v>5441.17184</v>
      </c>
      <c r="O29" s="106">
        <f>_xlfn.XLOOKUP($B29,Overview_Report!$B:$B,Overview_Report!O:O)</f>
        <v>5910.6777599999996</v>
      </c>
      <c r="P29" s="106">
        <f>_xlfn.XLOOKUP($B29,Overview_Report!$B:$B,Overview_Report!P:P)</f>
        <v>5755.1603200000009</v>
      </c>
      <c r="Q29" s="106">
        <f>_xlfn.XLOOKUP($B29,Overview_Report!$B:$B,Overview_Report!Q:Q)</f>
        <v>5662.8707200000008</v>
      </c>
      <c r="R29" s="106">
        <f>_xlfn.XLOOKUP($B29,Overview_Report!$B:$B,Overview_Report!R:R)</f>
        <v>5547.8217600000007</v>
      </c>
      <c r="S29" s="106">
        <f>_xlfn.XLOOKUP($B29,Overview_Report!$B:$B,Overview_Report!S:S)</f>
        <v>5574.1712000000007</v>
      </c>
      <c r="T29" s="106">
        <f>_xlfn.XLOOKUP($B29,Overview_Report!$B:$B,Overview_Report!T:T)</f>
        <v>6453.6575999999986</v>
      </c>
      <c r="U29" s="106">
        <f>_xlfn.XLOOKUP($B29,Overview_Report!$B:$B,Overview_Report!U:U)</f>
        <v>5572.1286400000008</v>
      </c>
      <c r="V29" s="106">
        <f>_xlfn.XLOOKUP($B29,Overview_Report!$B:$B,Overview_Report!V:V)</f>
        <v>4560.4457599999996</v>
      </c>
      <c r="W29" s="106">
        <f>_xlfn.XLOOKUP($B29,Overview_Report!$B:$B,Overview_Report!W:W)</f>
        <v>4217.1667200000002</v>
      </c>
      <c r="X29" s="106">
        <f>_xlfn.XLOOKUP($B29,Overview_Report!$B:$B,Overview_Report!X:X)</f>
        <v>4897.5472000000009</v>
      </c>
      <c r="Y29" s="106">
        <f>_xlfn.XLOOKUP($B29,Overview_Report!$B:$B,Overview_Report!Y:Y)</f>
        <v>5955.6348799999996</v>
      </c>
      <c r="Z29" s="106">
        <f>_xlfn.XLOOKUP($B29,Overview_Report!$B:$B,Overview_Report!Z:Z)</f>
        <v>6121.7103999999999</v>
      </c>
      <c r="AA29" s="106">
        <f>_xlfn.XLOOKUP($B29,Overview_Report!$B:$B,Overview_Report!AA:AA)</f>
        <v>5862.3510400000014</v>
      </c>
      <c r="AB29" s="106">
        <f>_xlfn.XLOOKUP($B29,Overview_Report!$B:$B,Overview_Report!AB:AB)</f>
        <v>5196.5804800000014</v>
      </c>
      <c r="AC29" s="106">
        <f>_xlfn.XLOOKUP($B29,Overview_Report!$B:$B,Overview_Report!AC:AC)</f>
        <v>5257.8739200000009</v>
      </c>
      <c r="AD29" s="106">
        <f>_xlfn.XLOOKUP($B29,Overview_Report!$B:$B,Overview_Report!AD:AD)</f>
        <v>5184.2336000000014</v>
      </c>
      <c r="AE29" s="106">
        <f>_xlfn.XLOOKUP($B29,Overview_Report!$B:$B,Overview_Report!AE:AE)</f>
        <v>5251.991680000001</v>
      </c>
      <c r="AF29" s="106">
        <f>_xlfn.XLOOKUP($B29,Overview_Report!$B:$B,Overview_Report!AF:AF)</f>
        <v>5370.7264000000005</v>
      </c>
      <c r="AG29" s="106">
        <f>_xlfn.XLOOKUP($B29,Overview_Report!$B:$B,Overview_Report!AG:AG)</f>
        <v>6508.3574399999998</v>
      </c>
      <c r="AH29" s="106">
        <f>_xlfn.XLOOKUP($B29,Overview_Report!$B:$B,Overview_Report!AH:AH)</f>
        <v>5129.28</v>
      </c>
    </row>
    <row r="30" spans="1:34" x14ac:dyDescent="0.25">
      <c r="B30" t="s">
        <v>67</v>
      </c>
      <c r="I30" s="106">
        <f>_xlfn.XLOOKUP($B30,Overview_Report!$B:$B,Overview_Report!I:I)</f>
        <v>14087.804219999998</v>
      </c>
      <c r="J30" s="106">
        <f>_xlfn.XLOOKUP($B30,Overview_Report!$B:$B,Overview_Report!J:J)</f>
        <v>10548.48438</v>
      </c>
      <c r="K30" s="106">
        <f>_xlfn.XLOOKUP($B30,Overview_Report!$B:$B,Overview_Report!K:K)</f>
        <v>12748.183560000001</v>
      </c>
      <c r="L30" s="106">
        <f>_xlfn.XLOOKUP($B30,Overview_Report!$B:$B,Overview_Report!L:L)</f>
        <v>10923.99336</v>
      </c>
      <c r="M30" s="106">
        <f>_xlfn.XLOOKUP($B30,Overview_Report!$B:$B,Overview_Report!M:M)</f>
        <v>10407.670559999999</v>
      </c>
      <c r="N30" s="106">
        <f>_xlfn.XLOOKUP($B30,Overview_Report!$B:$B,Overview_Report!N:N)</f>
        <v>11986.9218</v>
      </c>
      <c r="O30" s="106">
        <f>_xlfn.XLOOKUP($B30,Overview_Report!$B:$B,Overview_Report!O:O)</f>
        <v>12768.6384</v>
      </c>
      <c r="P30" s="106">
        <f>_xlfn.XLOOKUP($B30,Overview_Report!$B:$B,Overview_Report!P:P)</f>
        <v>12024.81</v>
      </c>
      <c r="Q30" s="106">
        <f>_xlfn.XLOOKUP($B30,Overview_Report!$B:$B,Overview_Report!Q:Q)</f>
        <v>12341.699999999999</v>
      </c>
      <c r="R30" s="106">
        <f>_xlfn.XLOOKUP($B30,Overview_Report!$B:$B,Overview_Report!R:R)</f>
        <v>12305.941199999999</v>
      </c>
      <c r="S30" s="106">
        <f>_xlfn.XLOOKUP($B30,Overview_Report!$B:$B,Overview_Report!S:S)</f>
        <v>11795.275799999999</v>
      </c>
      <c r="T30" s="106">
        <f>_xlfn.XLOOKUP($B30,Overview_Report!$B:$B,Overview_Report!T:T)</f>
        <v>11968.992000000002</v>
      </c>
      <c r="U30" s="106">
        <f>_xlfn.XLOOKUP($B30,Overview_Report!$B:$B,Overview_Report!U:U)</f>
        <v>11355.497999999998</v>
      </c>
      <c r="V30" s="106">
        <f>_xlfn.XLOOKUP($B30,Overview_Report!$B:$B,Overview_Report!V:V)</f>
        <v>9815.3118000000013</v>
      </c>
      <c r="W30" s="106">
        <f>_xlfn.XLOOKUP($B30,Overview_Report!$B:$B,Overview_Report!W:W)</f>
        <v>9938.8170000000009</v>
      </c>
      <c r="X30" s="106">
        <f>_xlfn.XLOOKUP($B30,Overview_Report!$B:$B,Overview_Report!X:X)</f>
        <v>11679.834600000002</v>
      </c>
      <c r="Y30" s="106">
        <f>_xlfn.XLOOKUP($B30,Overview_Report!$B:$B,Overview_Report!Y:Y)</f>
        <v>11615.234399999999</v>
      </c>
      <c r="Z30" s="106">
        <f>_xlfn.XLOOKUP($B30,Overview_Report!$B:$B,Overview_Report!Z:Z)</f>
        <v>11483.526599999997</v>
      </c>
      <c r="AA30" s="106">
        <f>_xlfn.XLOOKUP($B30,Overview_Report!$B:$B,Overview_Report!AA:AA)</f>
        <v>7104.4596000000001</v>
      </c>
      <c r="AB30" s="106">
        <f>_xlfn.XLOOKUP($B30,Overview_Report!$B:$B,Overview_Report!AB:AB)</f>
        <v>8568.4410000000007</v>
      </c>
      <c r="AC30" s="106">
        <f>_xlfn.XLOOKUP($B30,Overview_Report!$B:$B,Overview_Report!AC:AC)</f>
        <v>10220.036399999999</v>
      </c>
      <c r="AD30" s="106">
        <f>_xlfn.XLOOKUP($B30,Overview_Report!$B:$B,Overview_Report!AD:AD)</f>
        <v>10665.219600000002</v>
      </c>
      <c r="AE30" s="106">
        <f>_xlfn.XLOOKUP($B30,Overview_Report!$B:$B,Overview_Report!AE:AE)</f>
        <v>10886.614199999998</v>
      </c>
      <c r="AF30" s="106">
        <f>_xlfn.XLOOKUP($B30,Overview_Report!$B:$B,Overview_Report!AF:AF)</f>
        <v>11025.655199999999</v>
      </c>
      <c r="AG30" s="106">
        <f>_xlfn.XLOOKUP($B30,Overview_Report!$B:$B,Overview_Report!AG:AG)</f>
        <v>11839.123800000001</v>
      </c>
      <c r="AH30" s="106">
        <f>_xlfn.XLOOKUP($B30,Overview_Report!$B:$B,Overview_Report!AH:AH)</f>
        <v>10344.587400000002</v>
      </c>
    </row>
    <row r="31" spans="1:34" x14ac:dyDescent="0.25">
      <c r="B31" t="s">
        <v>18</v>
      </c>
      <c r="C31" s="89"/>
      <c r="D31" s="89"/>
      <c r="E31" s="89"/>
      <c r="F31" s="89"/>
      <c r="G31" s="89"/>
      <c r="H31" s="89"/>
      <c r="I31" s="44">
        <f>_xlfn.XLOOKUP($B31,Overview_Report!$B:$B,Overview_Report!I:I)</f>
        <v>23711.155875000004</v>
      </c>
      <c r="J31" s="44">
        <f>_xlfn.XLOOKUP($B31,Overview_Report!$B:$B,Overview_Report!J:J)</f>
        <v>19757.241900000001</v>
      </c>
      <c r="K31" s="44">
        <f>_xlfn.XLOOKUP($B31,Overview_Report!$B:$B,Overview_Report!K:K)</f>
        <v>18515.524500000003</v>
      </c>
      <c r="L31" s="44">
        <f>_xlfn.XLOOKUP($B31,Overview_Report!$B:$B,Overview_Report!L:L)</f>
        <v>18643.278224999995</v>
      </c>
      <c r="M31" s="44">
        <f>_xlfn.XLOOKUP($B31,Overview_Report!$B:$B,Overview_Report!M:M)</f>
        <v>18451.4022</v>
      </c>
      <c r="N31" s="44">
        <f>_xlfn.XLOOKUP($B31,Overview_Report!$B:$B,Overview_Report!N:N)</f>
        <v>18344.335350000001</v>
      </c>
      <c r="O31" s="44">
        <f>_xlfn.XLOOKUP($B31,Overview_Report!$B:$B,Overview_Report!O:O)</f>
        <v>19927.224899999997</v>
      </c>
      <c r="P31" s="44">
        <f>_xlfn.XLOOKUP($B31,Overview_Report!$B:$B,Overview_Report!P:P)</f>
        <v>19402.914299999997</v>
      </c>
      <c r="Q31" s="44">
        <f>_xlfn.XLOOKUP($B31,Overview_Report!$B:$B,Overview_Report!Q:Q)</f>
        <v>19091.769675</v>
      </c>
      <c r="R31" s="44">
        <f>_xlfn.XLOOKUP($B31,Overview_Report!$B:$B,Overview_Report!R:R)</f>
        <v>18703.894275000002</v>
      </c>
      <c r="S31" s="44">
        <f>_xlfn.XLOOKUP($B31,Overview_Report!$B:$B,Overview_Report!S:S)</f>
        <v>18792.728625</v>
      </c>
      <c r="T31" s="44">
        <f>_xlfn.XLOOKUP($B31,Overview_Report!$B:$B,Overview_Report!T:T)</f>
        <v>21757.823999999997</v>
      </c>
      <c r="U31" s="44">
        <f>_xlfn.XLOOKUP($B31,Overview_Report!$B:$B,Overview_Report!U:U)</f>
        <v>18785.842350000003</v>
      </c>
      <c r="V31" s="44">
        <f>_xlfn.XLOOKUP($B31,Overview_Report!$B:$B,Overview_Report!V:V)</f>
        <v>15375.060525000001</v>
      </c>
      <c r="W31" s="44">
        <f>_xlfn.XLOOKUP($B31,Overview_Report!$B:$B,Overview_Report!W:W)</f>
        <v>14217.731549999997</v>
      </c>
      <c r="X31" s="44">
        <f>_xlfn.XLOOKUP($B31,Overview_Report!$B:$B,Overview_Report!X:X)</f>
        <v>16511.562375000001</v>
      </c>
      <c r="Y31" s="44">
        <f>_xlfn.XLOOKUP($B31,Overview_Report!$B:$B,Overview_Report!Y:Y)</f>
        <v>20078.793074999998</v>
      </c>
      <c r="Z31" s="44">
        <f>_xlfn.XLOOKUP($B31,Overview_Report!$B:$B,Overview_Report!Z:Z)</f>
        <v>20638.699124999999</v>
      </c>
      <c r="AA31" s="44">
        <f>_xlfn.XLOOKUP($B31,Overview_Report!$B:$B,Overview_Report!AA:AA)</f>
        <v>19764.296474999996</v>
      </c>
      <c r="AB31" s="44">
        <f>_xlfn.XLOOKUP($B31,Overview_Report!$B:$B,Overview_Report!AB:AB)</f>
        <v>17519.721450000005</v>
      </c>
      <c r="AC31" s="44">
        <f>_xlfn.XLOOKUP($B31,Overview_Report!$B:$B,Overview_Report!AC:AC)</f>
        <v>17726.365800000003</v>
      </c>
      <c r="AD31" s="44">
        <f>_xlfn.XLOOKUP($B31,Overview_Report!$B:$B,Overview_Report!AD:AD)</f>
        <v>17478.095250000002</v>
      </c>
      <c r="AE31" s="44">
        <f>_xlfn.XLOOKUP($B31,Overview_Report!$B:$B,Overview_Report!AE:AE)</f>
        <v>17706.534449999999</v>
      </c>
      <c r="AF31" s="44">
        <f>_xlfn.XLOOKUP($B31,Overview_Report!$B:$B,Overview_Report!AF:AF)</f>
        <v>18106.835999999999</v>
      </c>
      <c r="AG31" s="44">
        <f>_xlfn.XLOOKUP($B31,Overview_Report!$B:$B,Overview_Report!AG:AG)</f>
        <v>21942.238724999999</v>
      </c>
      <c r="AH31" s="44">
        <f>_xlfn.XLOOKUP($B31,Overview_Report!$B:$B,Overview_Report!AH:AH)</f>
        <v>17292.824999999997</v>
      </c>
    </row>
    <row r="32" spans="1:34" x14ac:dyDescent="0.25">
      <c r="B32" t="s">
        <v>19</v>
      </c>
      <c r="C32" s="89"/>
      <c r="D32" s="89"/>
      <c r="E32" s="89"/>
      <c r="F32" s="89"/>
      <c r="G32" s="89"/>
      <c r="H32" s="89"/>
      <c r="I32" s="44">
        <f>_xlfn.XLOOKUP($B32,Overview_Report!$B:$B,Overview_Report!I:I)</f>
        <v>44832.001694999999</v>
      </c>
      <c r="J32" s="44">
        <f>_xlfn.XLOOKUP($B32,Overview_Report!$B:$B,Overview_Report!J:J)</f>
        <v>36165.984839999997</v>
      </c>
      <c r="K32" s="44">
        <f>_xlfn.XLOOKUP($B32,Overview_Report!$B:$B,Overview_Report!K:K)</f>
        <v>36755.656860000003</v>
      </c>
      <c r="L32" s="44">
        <f>_xlfn.XLOOKUP($B32,Overview_Report!$B:$B,Overview_Report!L:L)</f>
        <v>35097.113824999993</v>
      </c>
      <c r="M32" s="44">
        <f>_xlfn.XLOOKUP($B32,Overview_Report!$B:$B,Overview_Report!M:M)</f>
        <v>34332.002039999999</v>
      </c>
      <c r="N32" s="44">
        <f>_xlfn.XLOOKUP($B32,Overview_Report!$B:$B,Overview_Report!N:N)</f>
        <v>35772.42899</v>
      </c>
      <c r="O32" s="44">
        <f>_xlfn.XLOOKUP($B32,Overview_Report!$B:$B,Overview_Report!O:O)</f>
        <v>38606.541059999996</v>
      </c>
      <c r="P32" s="44">
        <f>_xlfn.XLOOKUP($B32,Overview_Report!$B:$B,Overview_Report!P:P)</f>
        <v>37182.884620000004</v>
      </c>
      <c r="Q32" s="44">
        <f>_xlfn.XLOOKUP($B32,Overview_Report!$B:$B,Overview_Report!Q:Q)</f>
        <v>37096.340394999992</v>
      </c>
      <c r="R32" s="44">
        <f>_xlfn.XLOOKUP($B32,Overview_Report!$B:$B,Overview_Report!R:R)</f>
        <v>36557.657235000006</v>
      </c>
      <c r="S32" s="44">
        <f>_xlfn.XLOOKUP($B32,Overview_Report!$B:$B,Overview_Report!S:S)</f>
        <v>36162.175625000003</v>
      </c>
      <c r="T32" s="44">
        <f>_xlfn.XLOOKUP($B32,Overview_Report!$B:$B,Overview_Report!T:T)</f>
        <v>40180.47359999999</v>
      </c>
      <c r="U32" s="44">
        <f>_xlfn.XLOOKUP($B32,Overview_Report!$B:$B,Overview_Report!U:U)</f>
        <v>35713.468990000008</v>
      </c>
      <c r="V32" s="44">
        <f>_xlfn.XLOOKUP($B32,Overview_Report!$B:$B,Overview_Report!V:V)</f>
        <v>29750.818084999999</v>
      </c>
      <c r="W32" s="44">
        <f>_xlfn.XLOOKUP($B32,Overview_Report!$B:$B,Overview_Report!W:W)</f>
        <v>28373.715269999997</v>
      </c>
      <c r="X32" s="44">
        <f>_xlfn.XLOOKUP($B32,Overview_Report!$B:$B,Overview_Report!X:X)</f>
        <v>33088.944175000004</v>
      </c>
      <c r="Y32" s="44">
        <f>_xlfn.XLOOKUP($B32,Overview_Report!$B:$B,Overview_Report!Y:Y)</f>
        <v>37649.662355</v>
      </c>
      <c r="Z32" s="44">
        <f>_xlfn.XLOOKUP($B32,Overview_Report!$B:$B,Overview_Report!Z:Z)</f>
        <v>38243.936125</v>
      </c>
      <c r="AA32" s="44">
        <f>_xlfn.XLOOKUP($B32,Overview_Report!$B:$B,Overview_Report!AA:AA)</f>
        <v>32731.107115000003</v>
      </c>
      <c r="AB32" s="44">
        <f>_xlfn.XLOOKUP($B32,Overview_Report!$B:$B,Overview_Report!AB:AB)</f>
        <v>31284.742930000004</v>
      </c>
      <c r="AC32" s="44">
        <f>_xlfn.XLOOKUP($B32,Overview_Report!$B:$B,Overview_Report!AC:AC)</f>
        <v>33204.276120000002</v>
      </c>
      <c r="AD32" s="44">
        <f>_xlfn.XLOOKUP($B32,Overview_Report!$B:$B,Overview_Report!AD:AD)</f>
        <v>33327.548450000002</v>
      </c>
      <c r="AE32" s="44">
        <f>_xlfn.XLOOKUP($B32,Overview_Report!$B:$B,Overview_Report!AE:AE)</f>
        <v>33845.140330000002</v>
      </c>
      <c r="AF32" s="44">
        <f>_xlfn.XLOOKUP($B32,Overview_Report!$B:$B,Overview_Report!AF:AF)</f>
        <v>34503.217600000004</v>
      </c>
      <c r="AG32" s="44">
        <f>_xlfn.XLOOKUP($B32,Overview_Report!$B:$B,Overview_Report!AG:AG)</f>
        <v>40289.719965000004</v>
      </c>
      <c r="AH32" s="44">
        <f>_xlfn.XLOOKUP($B32,Overview_Report!$B:$B,Overview_Report!AH:AH)</f>
        <v>32766.692399999996</v>
      </c>
    </row>
    <row r="33" spans="1:34" x14ac:dyDescent="0.25">
      <c r="A33" s="74" t="s">
        <v>44</v>
      </c>
      <c r="B33" s="7" t="s">
        <v>6</v>
      </c>
      <c r="C33" s="91"/>
      <c r="D33" s="91"/>
      <c r="E33" s="91"/>
      <c r="F33" s="91"/>
      <c r="G33" s="91"/>
      <c r="H33" s="91"/>
      <c r="I33" s="91">
        <f>_xlfn.XLOOKUP($B33,Overview_Report!$B:$B,Overview_Report!I:I)</f>
        <v>0</v>
      </c>
      <c r="J33" s="91">
        <f>_xlfn.XLOOKUP($B33,Overview_Report!$B:$B,Overview_Report!J:J)</f>
        <v>0</v>
      </c>
      <c r="K33" s="91">
        <f>_xlfn.XLOOKUP($B33,Overview_Report!$B:$B,Overview_Report!K:K)</f>
        <v>0</v>
      </c>
      <c r="L33" s="91">
        <f>_xlfn.XLOOKUP($B33,Overview_Report!$B:$B,Overview_Report!L:L)</f>
        <v>0</v>
      </c>
      <c r="M33" s="91">
        <f>_xlfn.XLOOKUP($B33,Overview_Report!$B:$B,Overview_Report!M:M)</f>
        <v>0</v>
      </c>
      <c r="N33" s="91">
        <f>_xlfn.XLOOKUP($B33,Overview_Report!$B:$B,Overview_Report!N:N)</f>
        <v>0</v>
      </c>
      <c r="O33" s="91">
        <f>_xlfn.XLOOKUP($B33,Overview_Report!$B:$B,Overview_Report!O:O)</f>
        <v>0</v>
      </c>
      <c r="P33" s="91">
        <f>_xlfn.XLOOKUP($B33,Overview_Report!$B:$B,Overview_Report!P:P)</f>
        <v>0</v>
      </c>
      <c r="Q33" s="91">
        <f>_xlfn.XLOOKUP($B33,Overview_Report!$B:$B,Overview_Report!Q:Q)</f>
        <v>0</v>
      </c>
      <c r="R33" s="91">
        <f>_xlfn.XLOOKUP($B33,Overview_Report!$B:$B,Overview_Report!R:R)</f>
        <v>0</v>
      </c>
      <c r="S33" s="91">
        <f>_xlfn.XLOOKUP($B33,Overview_Report!$B:$B,Overview_Report!S:S)</f>
        <v>0</v>
      </c>
      <c r="T33" s="91">
        <f>_xlfn.XLOOKUP($B33,Overview_Report!$B:$B,Overview_Report!T:T)</f>
        <v>0</v>
      </c>
      <c r="U33" s="91">
        <f>_xlfn.XLOOKUP($B33,Overview_Report!$B:$B,Overview_Report!U:U)</f>
        <v>0</v>
      </c>
      <c r="V33" s="91">
        <f>_xlfn.XLOOKUP($B33,Overview_Report!$B:$B,Overview_Report!V:V)</f>
        <v>0</v>
      </c>
      <c r="W33" s="91">
        <f>_xlfn.XLOOKUP($B33,Overview_Report!$B:$B,Overview_Report!W:W)</f>
        <v>0</v>
      </c>
      <c r="X33" s="91">
        <f>_xlfn.XLOOKUP($B33,Overview_Report!$B:$B,Overview_Report!X:X)</f>
        <v>0</v>
      </c>
      <c r="Y33" s="91">
        <f>_xlfn.XLOOKUP($B33,Overview_Report!$B:$B,Overview_Report!Y:Y)</f>
        <v>0</v>
      </c>
      <c r="Z33" s="91">
        <f>_xlfn.XLOOKUP($B33,Overview_Report!$B:$B,Overview_Report!Z:Z)</f>
        <v>0</v>
      </c>
      <c r="AA33" s="91">
        <f>_xlfn.XLOOKUP($B33,Overview_Report!$B:$B,Overview_Report!AA:AA)</f>
        <v>0</v>
      </c>
      <c r="AB33" s="91">
        <f>_xlfn.XLOOKUP($B33,Overview_Report!$B:$B,Overview_Report!AB:AB)</f>
        <v>0</v>
      </c>
      <c r="AC33" s="91">
        <f>_xlfn.XLOOKUP($B33,Overview_Report!$B:$B,Overview_Report!AC:AC)</f>
        <v>0</v>
      </c>
      <c r="AD33" s="91">
        <f>_xlfn.XLOOKUP($B33,Overview_Report!$B:$B,Overview_Report!AD:AD)</f>
        <v>0</v>
      </c>
      <c r="AE33" s="91">
        <f>_xlfn.XLOOKUP($B33,Overview_Report!$B:$B,Overview_Report!AE:AE)</f>
        <v>0</v>
      </c>
      <c r="AF33" s="91">
        <f>_xlfn.XLOOKUP($B33,Overview_Report!$B:$B,Overview_Report!AF:AF)</f>
        <v>0</v>
      </c>
      <c r="AG33" s="91">
        <f>_xlfn.XLOOKUP($B33,Overview_Report!$B:$B,Overview_Report!AG:AG)</f>
        <v>0</v>
      </c>
      <c r="AH33" s="91">
        <f>_xlfn.XLOOKUP($B33,Overview_Report!$B:$B,Overview_Report!AH:AH)</f>
        <v>0</v>
      </c>
    </row>
    <row r="34" spans="1:34" x14ac:dyDescent="0.25">
      <c r="A34" s="75" t="s">
        <v>46</v>
      </c>
      <c r="B34" s="82" t="s">
        <v>20</v>
      </c>
      <c r="C34" s="90"/>
      <c r="D34" s="90"/>
      <c r="E34" s="90"/>
      <c r="F34" s="90"/>
      <c r="G34" s="90"/>
      <c r="H34" s="90"/>
      <c r="I34" s="82">
        <f>_xlfn.XLOOKUP($B34,Overview_Report!$B:$B,Overview_Report!I:I)</f>
        <v>53945.615283449988</v>
      </c>
      <c r="J34" s="82">
        <f>_xlfn.XLOOKUP($B34,Overview_Report!$B:$B,Overview_Report!J:J)</f>
        <v>46179.843724238781</v>
      </c>
      <c r="K34" s="82">
        <f>_xlfn.XLOOKUP($B34,Overview_Report!$B:$B,Overview_Report!K:K)</f>
        <v>47790.126115378633</v>
      </c>
      <c r="L34" s="82">
        <f>_xlfn.XLOOKUP($B34,Overview_Report!$B:$B,Overview_Report!L:L)</f>
        <v>45611.026439622445</v>
      </c>
      <c r="M34" s="82">
        <f>_xlfn.XLOOKUP($B34,Overview_Report!$B:$B,Overview_Report!M:M)</f>
        <v>45072.148954059659</v>
      </c>
      <c r="N34" s="82">
        <f>_xlfn.XLOOKUP($B34,Overview_Report!$B:$B,Overview_Report!N:N)</f>
        <v>47405.684965866676</v>
      </c>
      <c r="O34" s="82">
        <f>_xlfn.XLOOKUP($B34,Overview_Report!$B:$B,Overview_Report!O:O)</f>
        <v>47666.005081678057</v>
      </c>
      <c r="P34" s="82">
        <f>_xlfn.XLOOKUP($B34,Overview_Report!$B:$B,Overview_Report!P:P)</f>
        <v>46167.61007475682</v>
      </c>
      <c r="Q34" s="82">
        <f>_xlfn.XLOOKUP($B34,Overview_Report!$B:$B,Overview_Report!Q:Q)</f>
        <v>44473.103384224662</v>
      </c>
      <c r="R34" s="82">
        <f>_xlfn.XLOOKUP($B34,Overview_Report!$B:$B,Overview_Report!R:R)</f>
        <v>46217.342601662305</v>
      </c>
      <c r="S34" s="82">
        <f>_xlfn.XLOOKUP($B34,Overview_Report!$B:$B,Overview_Report!S:S)</f>
        <v>41679.817157270569</v>
      </c>
      <c r="T34" s="82">
        <f>_xlfn.XLOOKUP($B34,Overview_Report!$B:$B,Overview_Report!T:T)</f>
        <v>43517.608472371241</v>
      </c>
      <c r="U34" s="82">
        <f>_xlfn.XLOOKUP($B34,Overview_Report!$B:$B,Overview_Report!U:U)</f>
        <v>41879.090423392685</v>
      </c>
      <c r="V34" s="82">
        <f>_xlfn.XLOOKUP($B34,Overview_Report!$B:$B,Overview_Report!V:V)</f>
        <v>38958.096405312535</v>
      </c>
      <c r="W34" s="82">
        <f>_xlfn.XLOOKUP($B34,Overview_Report!$B:$B,Overview_Report!W:W)</f>
        <v>37934.461149145485</v>
      </c>
      <c r="X34" s="82">
        <f>_xlfn.XLOOKUP($B34,Overview_Report!$B:$B,Overview_Report!X:X)</f>
        <v>42726.133077752267</v>
      </c>
      <c r="Y34" s="82">
        <f>_xlfn.XLOOKUP($B34,Overview_Report!$B:$B,Overview_Report!Y:Y)</f>
        <v>45575.906300086106</v>
      </c>
      <c r="Z34" s="82">
        <f>_xlfn.XLOOKUP($B34,Overview_Report!$B:$B,Overview_Report!Z:Z)</f>
        <v>46218.617704868338</v>
      </c>
      <c r="AA34" s="82">
        <f>_xlfn.XLOOKUP($B34,Overview_Report!$B:$B,Overview_Report!AA:AA)</f>
        <v>36660.234434748018</v>
      </c>
      <c r="AB34" s="82">
        <f>_xlfn.XLOOKUP($B34,Overview_Report!$B:$B,Overview_Report!AB:AB)</f>
        <v>36682.037039204821</v>
      </c>
      <c r="AC34" s="82">
        <f>_xlfn.XLOOKUP($B34,Overview_Report!$B:$B,Overview_Report!AC:AC)</f>
        <v>40592.63725546722</v>
      </c>
      <c r="AD34" s="82">
        <f>_xlfn.XLOOKUP($B34,Overview_Report!$B:$B,Overview_Report!AD:AD)</f>
        <v>43396.430121438709</v>
      </c>
      <c r="AE34" s="82">
        <f>_xlfn.XLOOKUP($B34,Overview_Report!$B:$B,Overview_Report!AE:AE)</f>
        <v>43425.06650577228</v>
      </c>
      <c r="AF34" s="82">
        <f>_xlfn.XLOOKUP($B34,Overview_Report!$B:$B,Overview_Report!AF:AF)</f>
        <v>43024.993091539014</v>
      </c>
      <c r="AG34" s="82">
        <f>_xlfn.XLOOKUP($B34,Overview_Report!$B:$B,Overview_Report!AG:AG)</f>
        <v>47851.763512573394</v>
      </c>
      <c r="AH34" s="82">
        <f>_xlfn.XLOOKUP($B34,Overview_Report!$B:$B,Overview_Report!AH:AH)</f>
        <v>41054.577055613467</v>
      </c>
    </row>
    <row r="35" spans="1:34" x14ac:dyDescent="0.25">
      <c r="B35" s="86" t="s">
        <v>21</v>
      </c>
      <c r="C35" s="99"/>
      <c r="D35" s="99"/>
      <c r="E35" s="99"/>
      <c r="F35" s="99"/>
      <c r="G35" s="99"/>
      <c r="H35" s="99"/>
      <c r="I35" s="99">
        <f>_xlfn.XLOOKUP($B35,Overview_Report!$B:$B,Overview_Report!I:I)</f>
        <v>49964.575499999984</v>
      </c>
      <c r="J35" s="99">
        <f>_xlfn.XLOOKUP($B35,Overview_Report!$B:$B,Overview_Report!J:J)</f>
        <v>43422.197881412052</v>
      </c>
      <c r="K35" s="99">
        <f>_xlfn.XLOOKUP($B35,Overview_Report!$B:$B,Overview_Report!K:K)</f>
        <v>43253.434723261715</v>
      </c>
      <c r="L35" s="99">
        <f>_xlfn.XLOOKUP($B35,Overview_Report!$B:$B,Overview_Report!L:L)</f>
        <v>42191.392982508929</v>
      </c>
      <c r="M35" s="99">
        <f>_xlfn.XLOOKUP($B35,Overview_Report!$B:$B,Overview_Report!M:M)</f>
        <v>42398.278804289948</v>
      </c>
      <c r="N35" s="99">
        <f>_xlfn.XLOOKUP($B35,Overview_Report!$B:$B,Overview_Report!N:N)</f>
        <v>44558.773212222572</v>
      </c>
      <c r="O35" s="99">
        <f>_xlfn.XLOOKUP($B35,Overview_Report!$B:$B,Overview_Report!O:O)</f>
        <v>45195.797460599053</v>
      </c>
      <c r="P35" s="99">
        <f>_xlfn.XLOOKUP($B35,Overview_Report!$B:$B,Overview_Report!P:P)</f>
        <v>46167.610074756813</v>
      </c>
      <c r="Q35" s="99">
        <f>_xlfn.XLOOKUP($B35,Overview_Report!$B:$B,Overview_Report!Q:Q)</f>
        <v>44473.103384224662</v>
      </c>
      <c r="R35" s="99">
        <f>_xlfn.XLOOKUP($B35,Overview_Report!$B:$B,Overview_Report!R:R)</f>
        <v>46217.342601662313</v>
      </c>
      <c r="S35" s="99">
        <f>_xlfn.XLOOKUP($B35,Overview_Report!$B:$B,Overview_Report!S:S)</f>
        <v>41679.817157270569</v>
      </c>
      <c r="T35" s="99">
        <f>_xlfn.XLOOKUP($B35,Overview_Report!$B:$B,Overview_Report!T:T)</f>
        <v>43517.608472371241</v>
      </c>
      <c r="U35" s="99">
        <f>_xlfn.XLOOKUP($B35,Overview_Report!$B:$B,Overview_Report!U:U)</f>
        <v>41879.090423392685</v>
      </c>
      <c r="V35" s="99">
        <f>_xlfn.XLOOKUP($B35,Overview_Report!$B:$B,Overview_Report!V:V)</f>
        <v>38958.096405312535</v>
      </c>
      <c r="W35" s="99">
        <f>_xlfn.XLOOKUP($B35,Overview_Report!$B:$B,Overview_Report!W:W)</f>
        <v>37934.461149145485</v>
      </c>
      <c r="X35" s="99">
        <f>_xlfn.XLOOKUP($B35,Overview_Report!$B:$B,Overview_Report!X:X)</f>
        <v>42726.133077752267</v>
      </c>
      <c r="Y35" s="99">
        <f>_xlfn.XLOOKUP($B35,Overview_Report!$B:$B,Overview_Report!Y:Y)</f>
        <v>45575.906300086106</v>
      </c>
      <c r="Z35" s="99">
        <f>_xlfn.XLOOKUP($B35,Overview_Report!$B:$B,Overview_Report!Z:Z)</f>
        <v>46218.617704868338</v>
      </c>
      <c r="AA35" s="99">
        <f>_xlfn.XLOOKUP($B35,Overview_Report!$B:$B,Overview_Report!AA:AA)</f>
        <v>36660.234434748025</v>
      </c>
      <c r="AB35" s="99">
        <f>_xlfn.XLOOKUP($B35,Overview_Report!$B:$B,Overview_Report!AB:AB)</f>
        <v>36682.037039204821</v>
      </c>
      <c r="AC35" s="99">
        <f>_xlfn.XLOOKUP($B35,Overview_Report!$B:$B,Overview_Report!AC:AC)</f>
        <v>40592.637255467213</v>
      </c>
      <c r="AD35" s="99">
        <f>_xlfn.XLOOKUP($B35,Overview_Report!$B:$B,Overview_Report!AD:AD)</f>
        <v>43396.430121438709</v>
      </c>
      <c r="AE35" s="99">
        <f>_xlfn.XLOOKUP($B35,Overview_Report!$B:$B,Overview_Report!AE:AE)</f>
        <v>43425.06650577228</v>
      </c>
      <c r="AF35" s="99">
        <f>_xlfn.XLOOKUP($B35,Overview_Report!$B:$B,Overview_Report!AF:AF)</f>
        <v>43024.993091539014</v>
      </c>
      <c r="AG35" s="99">
        <f>_xlfn.XLOOKUP($B35,Overview_Report!$B:$B,Overview_Report!AG:AG)</f>
        <v>47851.763512573394</v>
      </c>
      <c r="AH35" s="99">
        <f>_xlfn.XLOOKUP($B35,Overview_Report!$B:$B,Overview_Report!AH:AH)</f>
        <v>41054.577055613467</v>
      </c>
    </row>
    <row r="36" spans="1:34" x14ac:dyDescent="0.25">
      <c r="B36" t="s">
        <v>68</v>
      </c>
      <c r="C36" s="44"/>
      <c r="D36" s="44"/>
      <c r="E36" s="44"/>
      <c r="F36" s="44"/>
      <c r="G36" s="44"/>
      <c r="H36" s="44"/>
      <c r="I36" s="44">
        <f>_xlfn.XLOOKUP($B36,Overview_Report!$B:$B,Overview_Report!I:I)</f>
        <v>62559.993999999984</v>
      </c>
      <c r="J36" s="44">
        <f>_xlfn.XLOOKUP($B36,Overview_Report!$B:$B,Overview_Report!J:J)</f>
        <v>62559.993999999984</v>
      </c>
      <c r="K36" s="44">
        <f>_xlfn.XLOOKUP($B36,Overview_Report!$B:$B,Overview_Report!K:K)</f>
        <v>62559.993999999984</v>
      </c>
      <c r="L36" s="44">
        <f>_xlfn.XLOOKUP($B36,Overview_Report!$B:$B,Overview_Report!L:L)</f>
        <v>62559.993999999984</v>
      </c>
      <c r="M36" s="44">
        <f>_xlfn.XLOOKUP($B36,Overview_Report!$B:$B,Overview_Report!M:M)</f>
        <v>62559.993999999984</v>
      </c>
      <c r="N36" s="44">
        <f>_xlfn.XLOOKUP($B36,Overview_Report!$B:$B,Overview_Report!N:N)</f>
        <v>62559.993999999984</v>
      </c>
      <c r="O36" s="44">
        <f>_xlfn.XLOOKUP($B36,Overview_Report!$B:$B,Overview_Report!O:O)</f>
        <v>62559.993999999984</v>
      </c>
      <c r="P36" s="44">
        <f>_xlfn.XLOOKUP($B36,Overview_Report!$B:$B,Overview_Report!P:P)</f>
        <v>62559.993999999984</v>
      </c>
      <c r="Q36" s="44">
        <f>_xlfn.XLOOKUP($B36,Overview_Report!$B:$B,Overview_Report!Q:Q)</f>
        <v>62559.993999999984</v>
      </c>
      <c r="R36" s="44">
        <f>_xlfn.XLOOKUP($B36,Overview_Report!$B:$B,Overview_Report!R:R)</f>
        <v>62559.993999999984</v>
      </c>
      <c r="S36" s="44">
        <f>_xlfn.XLOOKUP($B36,Overview_Report!$B:$B,Overview_Report!S:S)</f>
        <v>62559.993999999999</v>
      </c>
      <c r="T36" s="44">
        <f>_xlfn.XLOOKUP($B36,Overview_Report!$B:$B,Overview_Report!T:T)</f>
        <v>62559.993999999984</v>
      </c>
      <c r="U36" s="44">
        <f>_xlfn.XLOOKUP($B36,Overview_Report!$B:$B,Overview_Report!U:U)</f>
        <v>62559.993999999984</v>
      </c>
      <c r="V36" s="44">
        <f>_xlfn.XLOOKUP($B36,Overview_Report!$B:$B,Overview_Report!V:V)</f>
        <v>62559.993999999984</v>
      </c>
      <c r="W36" s="44">
        <f>_xlfn.XLOOKUP($B36,Overview_Report!$B:$B,Overview_Report!W:W)</f>
        <v>62559.993999999984</v>
      </c>
      <c r="X36" s="44">
        <f>_xlfn.XLOOKUP($B36,Overview_Report!$B:$B,Overview_Report!X:X)</f>
        <v>62559.993999999984</v>
      </c>
      <c r="Y36" s="44">
        <f>_xlfn.XLOOKUP($B36,Overview_Report!$B:$B,Overview_Report!Y:Y)</f>
        <v>62559.993999999984</v>
      </c>
      <c r="Z36" s="44">
        <f>_xlfn.XLOOKUP($B36,Overview_Report!$B:$B,Overview_Report!Z:Z)</f>
        <v>62559.993999999984</v>
      </c>
      <c r="AA36" s="44">
        <f>_xlfn.XLOOKUP($B36,Overview_Report!$B:$B,Overview_Report!AA:AA)</f>
        <v>62559.993999999984</v>
      </c>
      <c r="AB36" s="44">
        <f>_xlfn.XLOOKUP($B36,Overview_Report!$B:$B,Overview_Report!AB:AB)</f>
        <v>62559.993999999984</v>
      </c>
      <c r="AC36" s="44">
        <f>_xlfn.XLOOKUP($B36,Overview_Report!$B:$B,Overview_Report!AC:AC)</f>
        <v>62559.993999999984</v>
      </c>
      <c r="AD36" s="44">
        <f>_xlfn.XLOOKUP($B36,Overview_Report!$B:$B,Overview_Report!AD:AD)</f>
        <v>62559.993999999984</v>
      </c>
      <c r="AE36" s="44">
        <f>_xlfn.XLOOKUP($B36,Overview_Report!$B:$B,Overview_Report!AE:AE)</f>
        <v>62559.993999999984</v>
      </c>
      <c r="AF36" s="44">
        <f>_xlfn.XLOOKUP($B36,Overview_Report!$B:$B,Overview_Report!AF:AF)</f>
        <v>62559.993999999984</v>
      </c>
      <c r="AG36" s="44">
        <f>_xlfn.XLOOKUP($B36,Overview_Report!$B:$B,Overview_Report!AG:AG)</f>
        <v>62559.993999999984</v>
      </c>
      <c r="AH36" s="44">
        <f>_xlfn.XLOOKUP($B36,Overview_Report!$B:$B,Overview_Report!AH:AH)</f>
        <v>62559.993999999984</v>
      </c>
    </row>
    <row r="37" spans="1:34" x14ac:dyDescent="0.25">
      <c r="A37" s="74" t="s">
        <v>47</v>
      </c>
      <c r="B37" t="s">
        <v>69</v>
      </c>
      <c r="C37" s="95"/>
      <c r="D37" s="95"/>
      <c r="E37" s="95"/>
      <c r="F37" s="95"/>
      <c r="G37" s="95"/>
      <c r="H37" s="95"/>
      <c r="I37" s="95">
        <f>_xlfn.XLOOKUP($B37,Overview_Report!$B:$B,Overview_Report!I:I)</f>
        <v>0.86230211728361106</v>
      </c>
      <c r="J37" s="95">
        <f>_xlfn.XLOOKUP($B37,Overview_Report!$B:$B,Overview_Report!J:J)</f>
        <v>0.7381689282808882</v>
      </c>
      <c r="K37" s="95">
        <f>_xlfn.XLOOKUP($B37,Overview_Report!$B:$B,Overview_Report!K:K)</f>
        <v>0.76390873879205667</v>
      </c>
      <c r="L37" s="95">
        <f>_xlfn.XLOOKUP($B37,Overview_Report!$B:$B,Overview_Report!L:L)</f>
        <v>0.7290765795089823</v>
      </c>
      <c r="M37" s="95">
        <f>_xlfn.XLOOKUP($B37,Overview_Report!$B:$B,Overview_Report!M:M)</f>
        <v>0.72046280813357599</v>
      </c>
      <c r="N37" s="95">
        <f>_xlfn.XLOOKUP($B37,Overview_Report!$B:$B,Overview_Report!N:N)</f>
        <v>0.75776357916317383</v>
      </c>
      <c r="O37" s="95">
        <f>_xlfn.XLOOKUP($B37,Overview_Report!$B:$B,Overview_Report!O:O)</f>
        <v>0.76192470673315682</v>
      </c>
      <c r="P37" s="95">
        <f>_xlfn.XLOOKUP($B37,Overview_Report!$B:$B,Overview_Report!P:P)</f>
        <v>0.73797337759905812</v>
      </c>
      <c r="Q37" s="95">
        <f>_xlfn.XLOOKUP($B37,Overview_Report!$B:$B,Overview_Report!Q:Q)</f>
        <v>0.71088727061298396</v>
      </c>
      <c r="R37" s="95">
        <f>_xlfn.XLOOKUP($B37,Overview_Report!$B:$B,Overview_Report!R:R)</f>
        <v>0.73876833494680805</v>
      </c>
      <c r="S37" s="95">
        <f>_xlfn.XLOOKUP($B37,Overview_Report!$B:$B,Overview_Report!S:S)</f>
        <v>0.66623755042672417</v>
      </c>
      <c r="T37" s="95">
        <f>_xlfn.XLOOKUP($B37,Overview_Report!$B:$B,Overview_Report!T:T)</f>
        <v>0.69561401288451596</v>
      </c>
      <c r="U37" s="95">
        <f>_xlfn.XLOOKUP($B37,Overview_Report!$B:$B,Overview_Report!U:U)</f>
        <v>0.66942286508839288</v>
      </c>
      <c r="V37" s="95">
        <f>_xlfn.XLOOKUP($B37,Overview_Report!$B:$B,Overview_Report!V:V)</f>
        <v>0.6227317797586831</v>
      </c>
      <c r="W37" s="95">
        <f>_xlfn.XLOOKUP($B37,Overview_Report!$B:$B,Overview_Report!W:W)</f>
        <v>0.60636932204861604</v>
      </c>
      <c r="X37" s="95">
        <f>_xlfn.XLOOKUP($B37,Overview_Report!$B:$B,Overview_Report!X:X)</f>
        <v>0.6829625507597118</v>
      </c>
      <c r="Y37" s="95">
        <f>_xlfn.XLOOKUP($B37,Overview_Report!$B:$B,Overview_Report!Y:Y)</f>
        <v>0.72851519615053228</v>
      </c>
      <c r="Z37" s="95">
        <f>_xlfn.XLOOKUP($B37,Overview_Report!$B:$B,Overview_Report!Z:Z)</f>
        <v>0.73878871703325855</v>
      </c>
      <c r="AA37" s="95">
        <f>_xlfn.XLOOKUP($B37,Overview_Report!$B:$B,Overview_Report!AA:AA)</f>
        <v>0.58600124601591275</v>
      </c>
      <c r="AB37" s="95">
        <f>_xlfn.XLOOKUP($B37,Overview_Report!$B:$B,Overview_Report!AB:AB)</f>
        <v>0.58634975315382565</v>
      </c>
      <c r="AC37" s="95">
        <f>_xlfn.XLOOKUP($B37,Overview_Report!$B:$B,Overview_Report!AC:AC)</f>
        <v>0.64885935339871059</v>
      </c>
      <c r="AD37" s="95">
        <f>_xlfn.XLOOKUP($B37,Overview_Report!$B:$B,Overview_Report!AD:AD)</f>
        <v>0.69367701859815889</v>
      </c>
      <c r="AE37" s="95">
        <f>_xlfn.XLOOKUP($B37,Overview_Report!$B:$B,Overview_Report!AE:AE)</f>
        <v>0.69413476135838947</v>
      </c>
      <c r="AF37" s="95">
        <f>_xlfn.XLOOKUP($B37,Overview_Report!$B:$B,Overview_Report!AF:AF)</f>
        <v>0.68773972535130046</v>
      </c>
      <c r="AG37" s="95">
        <f>_xlfn.XLOOKUP($B37,Overview_Report!$B:$B,Overview_Report!AG:AG)</f>
        <v>0.76489399139925418</v>
      </c>
      <c r="AH37" s="95">
        <f>_xlfn.XLOOKUP($B37,Overview_Report!$B:$B,Overview_Report!AH:AH)</f>
        <v>0.65624330231894634</v>
      </c>
    </row>
    <row r="38" spans="1:34" x14ac:dyDescent="0.25">
      <c r="A38" s="76" t="s">
        <v>48</v>
      </c>
      <c r="B38" t="s">
        <v>70</v>
      </c>
      <c r="C38" s="95"/>
      <c r="D38" s="95"/>
      <c r="E38" s="95"/>
      <c r="F38" s="95"/>
      <c r="G38" s="95"/>
      <c r="H38" s="95"/>
      <c r="I38" s="95">
        <f>_xlfn.XLOOKUP($B38,Overview_Report!$B:$B,Overview_Report!I:I)</f>
        <v>0.79866656476981113</v>
      </c>
      <c r="J38" s="95">
        <f>_xlfn.XLOOKUP($B38,Overview_Report!$B:$B,Overview_Report!J:J)</f>
        <v>0.69408890738403939</v>
      </c>
      <c r="K38" s="95">
        <f>_xlfn.XLOOKUP($B38,Overview_Report!$B:$B,Overview_Report!K:K)</f>
        <v>0.69139128631089264</v>
      </c>
      <c r="L38" s="95">
        <f>_xlfn.XLOOKUP($B38,Overview_Report!$B:$B,Overview_Report!L:L)</f>
        <v>0.67441491414639421</v>
      </c>
      <c r="M38" s="95">
        <f>_xlfn.XLOOKUP($B38,Overview_Report!$B:$B,Overview_Report!M:M)</f>
        <v>0.6777219128935652</v>
      </c>
      <c r="N38" s="95">
        <f>_xlfn.XLOOKUP($B38,Overview_Report!$B:$B,Overview_Report!N:N)</f>
        <v>0.71225667336577081</v>
      </c>
      <c r="O38" s="95">
        <f>_xlfn.XLOOKUP($B38,Overview_Report!$B:$B,Overview_Report!O:O)</f>
        <v>0.72243928700822868</v>
      </c>
      <c r="P38" s="95">
        <f>_xlfn.XLOOKUP($B38,Overview_Report!$B:$B,Overview_Report!P:P)</f>
        <v>0.73797337759905834</v>
      </c>
      <c r="Q38" s="95">
        <f>_xlfn.XLOOKUP($B38,Overview_Report!$B:$B,Overview_Report!Q:Q)</f>
        <v>0.71088727061298429</v>
      </c>
      <c r="R38" s="95">
        <f>_xlfn.XLOOKUP($B38,Overview_Report!$B:$B,Overview_Report!R:R)</f>
        <v>0.73876833494680838</v>
      </c>
      <c r="S38" s="95">
        <f>_xlfn.XLOOKUP($B38,Overview_Report!$B:$B,Overview_Report!S:S)</f>
        <v>0.66623755042672428</v>
      </c>
      <c r="T38" s="95">
        <f>_xlfn.XLOOKUP($B38,Overview_Report!$B:$B,Overview_Report!T:T)</f>
        <v>0.69561401288451619</v>
      </c>
      <c r="U38" s="95">
        <f>_xlfn.XLOOKUP($B38,Overview_Report!$B:$B,Overview_Report!U:U)</f>
        <v>0.66942286508839333</v>
      </c>
      <c r="V38" s="95">
        <f>_xlfn.XLOOKUP($B38,Overview_Report!$B:$B,Overview_Report!V:V)</f>
        <v>0.62273177975868321</v>
      </c>
      <c r="W38" s="95">
        <f>_xlfn.XLOOKUP($B38,Overview_Report!$B:$B,Overview_Report!W:W)</f>
        <v>0.60636932204861616</v>
      </c>
      <c r="X38" s="95">
        <f>_xlfn.XLOOKUP($B38,Overview_Report!$B:$B,Overview_Report!X:X)</f>
        <v>0.68296255075971202</v>
      </c>
      <c r="Y38" s="95">
        <f>_xlfn.XLOOKUP($B38,Overview_Report!$B:$B,Overview_Report!Y:Y)</f>
        <v>0.72851519615053217</v>
      </c>
      <c r="Z38" s="95">
        <f>_xlfn.XLOOKUP($B38,Overview_Report!$B:$B,Overview_Report!Z:Z)</f>
        <v>0.73878871703325855</v>
      </c>
      <c r="AA38" s="95">
        <f>_xlfn.XLOOKUP($B38,Overview_Report!$B:$B,Overview_Report!AA:AA)</f>
        <v>0.58600124601591286</v>
      </c>
      <c r="AB38" s="95">
        <f>_xlfn.XLOOKUP($B38,Overview_Report!$B:$B,Overview_Report!AB:AB)</f>
        <v>0.58634975315382587</v>
      </c>
      <c r="AC38" s="95">
        <f>_xlfn.XLOOKUP($B38,Overview_Report!$B:$B,Overview_Report!AC:AC)</f>
        <v>0.6488593533987107</v>
      </c>
      <c r="AD38" s="95">
        <f>_xlfn.XLOOKUP($B38,Overview_Report!$B:$B,Overview_Report!AD:AD)</f>
        <v>0.69367701859815911</v>
      </c>
      <c r="AE38" s="95">
        <f>_xlfn.XLOOKUP($B38,Overview_Report!$B:$B,Overview_Report!AE:AE)</f>
        <v>0.6941347613583897</v>
      </c>
      <c r="AF38" s="95">
        <f>_xlfn.XLOOKUP($B38,Overview_Report!$B:$B,Overview_Report!AF:AF)</f>
        <v>0.68773972535130079</v>
      </c>
      <c r="AG38" s="95">
        <f>_xlfn.XLOOKUP($B38,Overview_Report!$B:$B,Overview_Report!AG:AG)</f>
        <v>0.7648939913992544</v>
      </c>
      <c r="AH38" s="95">
        <f>_xlfn.XLOOKUP($B38,Overview_Report!$B:$B,Overview_Report!AH:AH)</f>
        <v>0.65624330231894645</v>
      </c>
    </row>
    <row r="39" spans="1:34" x14ac:dyDescent="0.25">
      <c r="A39" s="75" t="s">
        <v>28</v>
      </c>
      <c r="B39" t="s">
        <v>23</v>
      </c>
      <c r="C39" s="44"/>
      <c r="D39" s="44"/>
      <c r="E39" s="44"/>
      <c r="F39" s="44"/>
      <c r="G39" s="44"/>
      <c r="H39" s="44"/>
      <c r="I39" s="44">
        <f>_xlfn.XLOOKUP($B39,Overview_Report!$B:$B,Overview_Report!I:I)</f>
        <v>108095.05028344999</v>
      </c>
      <c r="J39" s="44">
        <f>_xlfn.XLOOKUP($B39,Overview_Report!$B:$B,Overview_Report!J:J)</f>
        <v>109356.94800768877</v>
      </c>
      <c r="K39" s="44">
        <f>_xlfn.XLOOKUP($B39,Overview_Report!$B:$B,Overview_Report!K:K)</f>
        <v>110508.2621230674</v>
      </c>
      <c r="L39" s="44">
        <f>_xlfn.XLOOKUP($B39,Overview_Report!$B:$B,Overview_Report!L:L)</f>
        <v>112193.83656268986</v>
      </c>
      <c r="M39" s="44">
        <f>_xlfn.XLOOKUP($B39,Overview_Report!$B:$B,Overview_Report!M:M)</f>
        <v>114433.71351674951</v>
      </c>
      <c r="N39" s="44">
        <f>_xlfn.XLOOKUP($B39,Overview_Report!$B:$B,Overview_Report!N:N)</f>
        <v>116653.05848261619</v>
      </c>
      <c r="O39" s="44">
        <f>_xlfn.XLOOKUP($B39,Overview_Report!$B:$B,Overview_Report!O:O)</f>
        <v>115634.66356429426</v>
      </c>
      <c r="P39" s="44">
        <f>_xlfn.XLOOKUP($B39,Overview_Report!$B:$B,Overview_Report!P:P)</f>
        <v>115046.23363905106</v>
      </c>
      <c r="Q39" s="44">
        <f>_xlfn.XLOOKUP($B39,Overview_Report!$B:$B,Overview_Report!Q:Q)</f>
        <v>112703.99702327572</v>
      </c>
      <c r="R39" s="44">
        <f>_xlfn.XLOOKUP($B39,Overview_Report!$B:$B,Overview_Report!R:R)</f>
        <v>112715.87962493801</v>
      </c>
      <c r="S39" s="44">
        <f>_xlfn.XLOOKUP($B39,Overview_Report!$B:$B,Overview_Report!S:S)</f>
        <v>108874.13678220857</v>
      </c>
      <c r="T39" s="44">
        <f>_xlfn.XLOOKUP($B39,Overview_Report!$B:$B,Overview_Report!T:T)</f>
        <v>102366.14525457981</v>
      </c>
      <c r="U39" s="44">
        <f>_xlfn.XLOOKUP($B39,Overview_Report!$B:$B,Overview_Report!U:U)</f>
        <v>99431.555677972501</v>
      </c>
      <c r="V39" s="44">
        <f>_xlfn.XLOOKUP($B39,Overview_Report!$B:$B,Overview_Report!V:V)</f>
        <v>100884.57208328503</v>
      </c>
      <c r="W39" s="44">
        <f>_xlfn.XLOOKUP($B39,Overview_Report!$B:$B,Overview_Report!W:W)</f>
        <v>102768.29323243051</v>
      </c>
      <c r="X39" s="44">
        <f>_xlfn.XLOOKUP($B39,Overview_Report!$B:$B,Overview_Report!X:X)</f>
        <v>103409.10631018277</v>
      </c>
      <c r="Y39" s="44">
        <f>_xlfn.XLOOKUP($B39,Overview_Report!$B:$B,Overview_Report!Y:Y)</f>
        <v>101915.2726102689</v>
      </c>
      <c r="Z39" s="44">
        <f>_xlfn.XLOOKUP($B39,Overview_Report!$B:$B,Overview_Report!Z:Z)</f>
        <v>100474.77031513726</v>
      </c>
      <c r="AA39" s="44">
        <f>_xlfn.XLOOKUP($B39,Overview_Report!$B:$B,Overview_Report!AA:AA)</f>
        <v>97673.704749885277</v>
      </c>
      <c r="AB39" s="44">
        <f>_xlfn.XLOOKUP($B39,Overview_Report!$B:$B,Overview_Report!AB:AB)</f>
        <v>95771.481789090089</v>
      </c>
      <c r="AC39" s="44">
        <f>_xlfn.XLOOKUP($B39,Overview_Report!$B:$B,Overview_Report!AC:AC)</f>
        <v>94863.599044557312</v>
      </c>
      <c r="AD39" s="44">
        <f>_xlfn.XLOOKUP($B39,Overview_Report!$B:$B,Overview_Report!AD:AD)</f>
        <v>96406.90916599601</v>
      </c>
      <c r="AE39" s="44">
        <f>_xlfn.XLOOKUP($B39,Overview_Report!$B:$B,Overview_Report!AE:AE)</f>
        <v>97301.675671768287</v>
      </c>
      <c r="AF39" s="44">
        <f>_xlfn.XLOOKUP($B39,Overview_Report!$B:$B,Overview_Report!AF:AF)</f>
        <v>97004.828763307305</v>
      </c>
      <c r="AG39" s="44">
        <f>_xlfn.XLOOKUP($B39,Overview_Report!$B:$B,Overview_Report!AG:AG)</f>
        <v>94774.152275880697</v>
      </c>
      <c r="AH39" s="44">
        <f>_xlfn.XLOOKUP($B39,Overview_Report!$B:$B,Overview_Report!AH:AH)</f>
        <v>94748.749331494168</v>
      </c>
    </row>
    <row r="40" spans="1:34" x14ac:dyDescent="0.25">
      <c r="A40" s="74" t="s">
        <v>49</v>
      </c>
      <c r="B40" s="88" t="s">
        <v>22</v>
      </c>
      <c r="C40" s="44"/>
      <c r="D40" s="44"/>
      <c r="E40" s="44"/>
      <c r="F40" s="44"/>
      <c r="G40" s="44"/>
      <c r="H40" s="44"/>
      <c r="I40" s="44">
        <f>_xlfn.XLOOKUP($B40,Overview_Report!$B:$B,Overview_Report!I:I)</f>
        <v>29534.960216549996</v>
      </c>
      <c r="J40" s="44">
        <f>_xlfn.XLOOKUP($B40,Overview_Report!$B:$B,Overview_Report!J:J)</f>
        <v>26777.314373723268</v>
      </c>
      <c r="K40" s="44">
        <f>_xlfn.XLOOKUP($B40,Overview_Report!$B:$B,Overview_Report!K:K)</f>
        <v>22240.622981606346</v>
      </c>
      <c r="L40" s="44">
        <f>_xlfn.XLOOKUP($B40,Overview_Report!$B:$B,Overview_Report!L:L)</f>
        <v>18820.98952449283</v>
      </c>
      <c r="M40" s="44">
        <f>_xlfn.XLOOKUP($B40,Overview_Report!$B:$B,Overview_Report!M:M)</f>
        <v>16147.119374723115</v>
      </c>
      <c r="N40" s="44">
        <f>_xlfn.XLOOKUP($B40,Overview_Report!$B:$B,Overview_Report!N:N)</f>
        <v>13300.207621079007</v>
      </c>
      <c r="O40" s="44">
        <f>_xlfn.XLOOKUP($B40,Overview_Report!$B:$B,Overview_Report!O:O)</f>
        <v>10830.000000000004</v>
      </c>
      <c r="P40" s="44">
        <f>_xlfn.XLOOKUP($B40,Overview_Report!$B:$B,Overview_Report!P:P)</f>
        <v>10830</v>
      </c>
      <c r="Q40" s="44">
        <f>_xlfn.XLOOKUP($B40,Overview_Report!$B:$B,Overview_Report!Q:Q)</f>
        <v>10830</v>
      </c>
      <c r="R40" s="44">
        <f>_xlfn.XLOOKUP($B40,Overview_Report!$B:$B,Overview_Report!R:R)</f>
        <v>10830.000000000002</v>
      </c>
      <c r="S40" s="44">
        <f>_xlfn.XLOOKUP($B40,Overview_Report!$B:$B,Overview_Report!S:S)</f>
        <v>10829.999999999998</v>
      </c>
      <c r="T40" s="44">
        <f>_xlfn.XLOOKUP($B40,Overview_Report!$B:$B,Overview_Report!T:T)</f>
        <v>10829.999999999998</v>
      </c>
      <c r="U40" s="44">
        <f>_xlfn.XLOOKUP($B40,Overview_Report!$B:$B,Overview_Report!U:U)</f>
        <v>10829.999999999998</v>
      </c>
      <c r="V40" s="44">
        <f>_xlfn.XLOOKUP($B40,Overview_Report!$B:$B,Overview_Report!V:V)</f>
        <v>10830</v>
      </c>
      <c r="W40" s="44">
        <f>_xlfn.XLOOKUP($B40,Overview_Report!$B:$B,Overview_Report!W:W)</f>
        <v>10830.000000000002</v>
      </c>
      <c r="X40" s="44">
        <f>_xlfn.XLOOKUP($B40,Overview_Report!$B:$B,Overview_Report!X:X)</f>
        <v>10830.000000000002</v>
      </c>
      <c r="Y40" s="44">
        <f>_xlfn.XLOOKUP($B40,Overview_Report!$B:$B,Overview_Report!Y:Y)</f>
        <v>10830</v>
      </c>
      <c r="Z40" s="44">
        <f>_xlfn.XLOOKUP($B40,Overview_Report!$B:$B,Overview_Report!Z:Z)</f>
        <v>10830</v>
      </c>
      <c r="AA40" s="44">
        <f>_xlfn.XLOOKUP($B40,Overview_Report!$B:$B,Overview_Report!AA:AA)</f>
        <v>10830.000000000002</v>
      </c>
      <c r="AB40" s="44">
        <f>_xlfn.XLOOKUP($B40,Overview_Report!$B:$B,Overview_Report!AB:AB)</f>
        <v>10830.000000000002</v>
      </c>
      <c r="AC40" s="44">
        <f>_xlfn.XLOOKUP($B40,Overview_Report!$B:$B,Overview_Report!AC:AC)</f>
        <v>10829.999999999998</v>
      </c>
      <c r="AD40" s="44">
        <f>_xlfn.XLOOKUP($B40,Overview_Report!$B:$B,Overview_Report!AD:AD)</f>
        <v>10829.999999999998</v>
      </c>
      <c r="AE40" s="44">
        <f>_xlfn.XLOOKUP($B40,Overview_Report!$B:$B,Overview_Report!AE:AE)</f>
        <v>10829.999999999996</v>
      </c>
      <c r="AF40" s="44">
        <f>_xlfn.XLOOKUP($B40,Overview_Report!$B:$B,Overview_Report!AF:AF)</f>
        <v>10829.999999999995</v>
      </c>
      <c r="AG40" s="44">
        <f>_xlfn.XLOOKUP($B40,Overview_Report!$B:$B,Overview_Report!AG:AG)</f>
        <v>10829.999999999995</v>
      </c>
      <c r="AH40" s="44">
        <f>_xlfn.XLOOKUP($B40,Overview_Report!$B:$B,Overview_Report!AH:AH)</f>
        <v>10829.999999999995</v>
      </c>
    </row>
    <row r="41" spans="1:34" x14ac:dyDescent="0.25">
      <c r="B41" t="s">
        <v>79</v>
      </c>
      <c r="C41" s="99"/>
      <c r="D41" s="99"/>
      <c r="E41" s="99"/>
      <c r="F41" s="99"/>
      <c r="G41" s="99"/>
      <c r="H41" s="99"/>
      <c r="I41" s="44">
        <f>_xlfn.XLOOKUP($B41,Overview_Report!$B:$B,Overview_Report!I:I)</f>
        <v>10830</v>
      </c>
      <c r="J41" s="44">
        <f>_xlfn.XLOOKUP($B41,Overview_Report!$B:$B,Overview_Report!J:J)</f>
        <v>10830</v>
      </c>
      <c r="K41" s="44">
        <f>_xlfn.XLOOKUP($B41,Overview_Report!$B:$B,Overview_Report!K:K)</f>
        <v>10830</v>
      </c>
      <c r="L41" s="44">
        <f>_xlfn.XLOOKUP($B41,Overview_Report!$B:$B,Overview_Report!L:L)</f>
        <v>10830</v>
      </c>
      <c r="M41" s="44">
        <f>_xlfn.XLOOKUP($B41,Overview_Report!$B:$B,Overview_Report!M:M)</f>
        <v>10830</v>
      </c>
      <c r="N41" s="44">
        <f>_xlfn.XLOOKUP($B41,Overview_Report!$B:$B,Overview_Report!N:N)</f>
        <v>10830</v>
      </c>
      <c r="O41" s="44">
        <f>_xlfn.XLOOKUP($B41,Overview_Report!$B:$B,Overview_Report!O:O)</f>
        <v>10830</v>
      </c>
      <c r="P41" s="44">
        <f>_xlfn.XLOOKUP($B41,Overview_Report!$B:$B,Overview_Report!P:P)</f>
        <v>10830</v>
      </c>
      <c r="Q41" s="44">
        <f>_xlfn.XLOOKUP($B41,Overview_Report!$B:$B,Overview_Report!Q:Q)</f>
        <v>10830</v>
      </c>
      <c r="R41" s="44">
        <f>_xlfn.XLOOKUP($B41,Overview_Report!$B:$B,Overview_Report!R:R)</f>
        <v>10830</v>
      </c>
      <c r="S41" s="44">
        <f>_xlfn.XLOOKUP($B41,Overview_Report!$B:$B,Overview_Report!S:S)</f>
        <v>10830</v>
      </c>
      <c r="T41" s="44">
        <f>_xlfn.XLOOKUP($B41,Overview_Report!$B:$B,Overview_Report!T:T)</f>
        <v>10830</v>
      </c>
      <c r="U41" s="44">
        <f>_xlfn.XLOOKUP($B41,Overview_Report!$B:$B,Overview_Report!U:U)</f>
        <v>10830</v>
      </c>
      <c r="V41" s="44">
        <f>_xlfn.XLOOKUP($B41,Overview_Report!$B:$B,Overview_Report!V:V)</f>
        <v>10830</v>
      </c>
      <c r="W41" s="44">
        <f>_xlfn.XLOOKUP($B41,Overview_Report!$B:$B,Overview_Report!W:W)</f>
        <v>10830</v>
      </c>
      <c r="X41" s="44">
        <f>_xlfn.XLOOKUP($B41,Overview_Report!$B:$B,Overview_Report!X:X)</f>
        <v>10830</v>
      </c>
      <c r="Y41" s="44">
        <f>_xlfn.XLOOKUP($B41,Overview_Report!$B:$B,Overview_Report!Y:Y)</f>
        <v>10830</v>
      </c>
      <c r="Z41" s="44">
        <f>_xlfn.XLOOKUP($B41,Overview_Report!$B:$B,Overview_Report!Z:Z)</f>
        <v>10830</v>
      </c>
      <c r="AA41" s="44">
        <f>_xlfn.XLOOKUP($B41,Overview_Report!$B:$B,Overview_Report!AA:AA)</f>
        <v>10830</v>
      </c>
      <c r="AB41" s="44">
        <f>_xlfn.XLOOKUP($B41,Overview_Report!$B:$B,Overview_Report!AB:AB)</f>
        <v>10830</v>
      </c>
      <c r="AC41" s="44">
        <f>_xlfn.XLOOKUP($B41,Overview_Report!$B:$B,Overview_Report!AC:AC)</f>
        <v>10830</v>
      </c>
      <c r="AD41" s="44">
        <f>_xlfn.XLOOKUP($B41,Overview_Report!$B:$B,Overview_Report!AD:AD)</f>
        <v>10830</v>
      </c>
      <c r="AE41" s="44">
        <f>_xlfn.XLOOKUP($B41,Overview_Report!$B:$B,Overview_Report!AE:AE)</f>
        <v>10830</v>
      </c>
      <c r="AF41" s="44">
        <f>_xlfn.XLOOKUP($B41,Overview_Report!$B:$B,Overview_Report!AF:AF)</f>
        <v>10830</v>
      </c>
      <c r="AG41" s="44">
        <f>_xlfn.XLOOKUP($B41,Overview_Report!$B:$B,Overview_Report!AG:AG)</f>
        <v>10830</v>
      </c>
      <c r="AH41" s="44">
        <f>_xlfn.XLOOKUP($B41,Overview_Report!$B:$B,Overview_Report!AH:AH)</f>
        <v>10830</v>
      </c>
    </row>
    <row r="42" spans="1:34" x14ac:dyDescent="0.25">
      <c r="A42" s="77" t="s">
        <v>31</v>
      </c>
      <c r="B42" s="87" t="s">
        <v>24</v>
      </c>
      <c r="C42" s="44"/>
      <c r="D42" s="44"/>
      <c r="E42" s="44"/>
      <c r="F42" s="44"/>
      <c r="G42" s="44"/>
      <c r="H42" s="44"/>
      <c r="I42" s="44">
        <f>_xlfn.XLOOKUP($B42,Overview_Report!$B:$B,Overview_Report!I:I)</f>
        <v>137630.01049999997</v>
      </c>
      <c r="J42" s="44">
        <f>_xlfn.XLOOKUP($B42,Overview_Report!$B:$B,Overview_Report!J:J)</f>
        <v>136134.26238141203</v>
      </c>
      <c r="K42" s="44">
        <f>_xlfn.XLOOKUP($B42,Overview_Report!$B:$B,Overview_Report!K:K)</f>
        <v>132748.88510467374</v>
      </c>
      <c r="L42" s="44">
        <f>_xlfn.XLOOKUP($B42,Overview_Report!$B:$B,Overview_Report!L:L)</f>
        <v>131014.82608718269</v>
      </c>
      <c r="M42" s="44">
        <f>_xlfn.XLOOKUP($B42,Overview_Report!$B:$B,Overview_Report!M:M)</f>
        <v>130580.83289147263</v>
      </c>
      <c r="N42" s="44">
        <f>_xlfn.XLOOKUP($B42,Overview_Report!$B:$B,Overview_Report!N:N)</f>
        <v>129953.2661036952</v>
      </c>
      <c r="O42" s="44">
        <f>_xlfn.XLOOKUP($B42,Overview_Report!$B:$B,Overview_Report!O:O)</f>
        <v>126464.66356429426</v>
      </c>
      <c r="P42" s="44">
        <f>_xlfn.XLOOKUP($B42,Overview_Report!$B:$B,Overview_Report!P:P)</f>
        <v>125876.23363905106</v>
      </c>
      <c r="Q42" s="44">
        <f>_xlfn.XLOOKUP($B42,Overview_Report!$B:$B,Overview_Report!Q:Q)</f>
        <v>123533.99702327572</v>
      </c>
      <c r="R42" s="44">
        <f>_xlfn.XLOOKUP($B42,Overview_Report!$B:$B,Overview_Report!R:R)</f>
        <v>123545.87962493801</v>
      </c>
      <c r="S42" s="44">
        <f>_xlfn.XLOOKUP($B42,Overview_Report!$B:$B,Overview_Report!S:S)</f>
        <v>119704.13678220857</v>
      </c>
      <c r="T42" s="44">
        <f>_xlfn.XLOOKUP($B42,Overview_Report!$B:$B,Overview_Report!T:T)</f>
        <v>113196.14525457981</v>
      </c>
      <c r="U42" s="44">
        <f>_xlfn.XLOOKUP($B42,Overview_Report!$B:$B,Overview_Report!U:U)</f>
        <v>110261.5556779725</v>
      </c>
      <c r="V42" s="44">
        <f>_xlfn.XLOOKUP($B42,Overview_Report!$B:$B,Overview_Report!V:V)</f>
        <v>111714.57208328503</v>
      </c>
      <c r="W42" s="44">
        <f>_xlfn.XLOOKUP($B42,Overview_Report!$B:$B,Overview_Report!W:W)</f>
        <v>113598.29323243051</v>
      </c>
      <c r="X42" s="44">
        <f>_xlfn.XLOOKUP($B42,Overview_Report!$B:$B,Overview_Report!X:X)</f>
        <v>114239.10631018277</v>
      </c>
      <c r="Y42" s="44">
        <f>_xlfn.XLOOKUP($B42,Overview_Report!$B:$B,Overview_Report!Y:Y)</f>
        <v>112745.2726102689</v>
      </c>
      <c r="Z42" s="44">
        <f>_xlfn.XLOOKUP($B42,Overview_Report!$B:$B,Overview_Report!Z:Z)</f>
        <v>111304.77031513726</v>
      </c>
      <c r="AA42" s="44">
        <f>_xlfn.XLOOKUP($B42,Overview_Report!$B:$B,Overview_Report!AA:AA)</f>
        <v>108503.70474988528</v>
      </c>
      <c r="AB42" s="44">
        <f>_xlfn.XLOOKUP($B42,Overview_Report!$B:$B,Overview_Report!AB:AB)</f>
        <v>106601.48178909009</v>
      </c>
      <c r="AC42" s="44">
        <f>_xlfn.XLOOKUP($B42,Overview_Report!$B:$B,Overview_Report!AC:AC)</f>
        <v>105693.59904455731</v>
      </c>
      <c r="AD42" s="44">
        <f>_xlfn.XLOOKUP($B42,Overview_Report!$B:$B,Overview_Report!AD:AD)</f>
        <v>107236.90916599601</v>
      </c>
      <c r="AE42" s="44">
        <f>_xlfn.XLOOKUP($B42,Overview_Report!$B:$B,Overview_Report!AE:AE)</f>
        <v>108131.67567176829</v>
      </c>
      <c r="AF42" s="44">
        <f>_xlfn.XLOOKUP($B42,Overview_Report!$B:$B,Overview_Report!AF:AF)</f>
        <v>107834.82876330731</v>
      </c>
      <c r="AG42" s="44">
        <f>_xlfn.XLOOKUP($B42,Overview_Report!$B:$B,Overview_Report!AG:AG)</f>
        <v>105604.1522758807</v>
      </c>
      <c r="AH42" s="44">
        <f>_xlfn.XLOOKUP($B42,Overview_Report!$B:$B,Overview_Report!AH:AH)</f>
        <v>105578.74933149417</v>
      </c>
    </row>
    <row r="43" spans="1:34" x14ac:dyDescent="0.25">
      <c r="A43" s="76" t="s">
        <v>50</v>
      </c>
      <c r="B43" t="s">
        <v>25</v>
      </c>
      <c r="C43" s="100"/>
      <c r="D43" s="100"/>
      <c r="E43" s="100"/>
      <c r="F43" s="100"/>
      <c r="G43" s="100"/>
      <c r="H43" s="100"/>
      <c r="I43" s="44">
        <f>_xlfn.XLOOKUP($B43,Overview_Report!$B:$B,Overview_Report!I:I)</f>
        <v>108095.05028344999</v>
      </c>
      <c r="J43" s="44">
        <f>_xlfn.XLOOKUP($B43,Overview_Report!$B:$B,Overview_Report!J:J)</f>
        <v>109356.94800768877</v>
      </c>
      <c r="K43" s="44">
        <f>_xlfn.XLOOKUP($B43,Overview_Report!$B:$B,Overview_Report!K:K)</f>
        <v>110508.2621230674</v>
      </c>
      <c r="L43" s="44">
        <f>_xlfn.XLOOKUP($B43,Overview_Report!$B:$B,Overview_Report!L:L)</f>
        <v>112193.83656268986</v>
      </c>
      <c r="M43" s="44">
        <f>_xlfn.XLOOKUP($B43,Overview_Report!$B:$B,Overview_Report!M:M)</f>
        <v>114433.71351674951</v>
      </c>
      <c r="N43" s="44">
        <f>_xlfn.XLOOKUP($B43,Overview_Report!$B:$B,Overview_Report!N:N)</f>
        <v>116653.05848261619</v>
      </c>
      <c r="O43" s="44">
        <f>_xlfn.XLOOKUP($B43,Overview_Report!$B:$B,Overview_Report!O:O)</f>
        <v>115634.66356429426</v>
      </c>
      <c r="P43" s="44">
        <f>_xlfn.XLOOKUP($B43,Overview_Report!$B:$B,Overview_Report!P:P)</f>
        <v>115046.23363905106</v>
      </c>
      <c r="Q43" s="44">
        <f>_xlfn.XLOOKUP($B43,Overview_Report!$B:$B,Overview_Report!Q:Q)</f>
        <v>112703.99702327572</v>
      </c>
      <c r="R43" s="44">
        <f>_xlfn.XLOOKUP($B43,Overview_Report!$B:$B,Overview_Report!R:R)</f>
        <v>112715.87962493801</v>
      </c>
      <c r="S43" s="44">
        <f>_xlfn.XLOOKUP($B43,Overview_Report!$B:$B,Overview_Report!S:S)</f>
        <v>108874.13678220857</v>
      </c>
      <c r="T43" s="44">
        <f>_xlfn.XLOOKUP($B43,Overview_Report!$B:$B,Overview_Report!T:T)</f>
        <v>102366.14525457981</v>
      </c>
      <c r="U43" s="44">
        <f>_xlfn.XLOOKUP($B43,Overview_Report!$B:$B,Overview_Report!U:U)</f>
        <v>99431.555677972501</v>
      </c>
      <c r="V43" s="44">
        <f>_xlfn.XLOOKUP($B43,Overview_Report!$B:$B,Overview_Report!V:V)</f>
        <v>100884.57208328503</v>
      </c>
      <c r="W43" s="44">
        <f>_xlfn.XLOOKUP($B43,Overview_Report!$B:$B,Overview_Report!W:W)</f>
        <v>102768.29323243051</v>
      </c>
      <c r="X43" s="44">
        <f>_xlfn.XLOOKUP($B43,Overview_Report!$B:$B,Overview_Report!X:X)</f>
        <v>103409.10631018277</v>
      </c>
      <c r="Y43" s="44">
        <f>_xlfn.XLOOKUP($B43,Overview_Report!$B:$B,Overview_Report!Y:Y)</f>
        <v>101915.2726102689</v>
      </c>
      <c r="Z43" s="44">
        <f>_xlfn.XLOOKUP($B43,Overview_Report!$B:$B,Overview_Report!Z:Z)</f>
        <v>100474.77031513726</v>
      </c>
      <c r="AA43" s="44">
        <f>_xlfn.XLOOKUP($B43,Overview_Report!$B:$B,Overview_Report!AA:AA)</f>
        <v>97673.704749885277</v>
      </c>
      <c r="AB43" s="44">
        <f>_xlfn.XLOOKUP($B43,Overview_Report!$B:$B,Overview_Report!AB:AB)</f>
        <v>95771.481789090089</v>
      </c>
      <c r="AC43" s="44">
        <f>_xlfn.XLOOKUP($B43,Overview_Report!$B:$B,Overview_Report!AC:AC)</f>
        <v>94863.599044557312</v>
      </c>
      <c r="AD43" s="44">
        <f>_xlfn.XLOOKUP($B43,Overview_Report!$B:$B,Overview_Report!AD:AD)</f>
        <v>96406.90916599601</v>
      </c>
      <c r="AE43" s="44">
        <f>_xlfn.XLOOKUP($B43,Overview_Report!$B:$B,Overview_Report!AE:AE)</f>
        <v>97301.675671768287</v>
      </c>
      <c r="AF43" s="44">
        <f>_xlfn.XLOOKUP($B43,Overview_Report!$B:$B,Overview_Report!AF:AF)</f>
        <v>97004.828763307305</v>
      </c>
      <c r="AG43" s="44">
        <f>_xlfn.XLOOKUP($B43,Overview_Report!$B:$B,Overview_Report!AG:AG)</f>
        <v>94774.152275880697</v>
      </c>
      <c r="AH43" s="44">
        <f>_xlfn.XLOOKUP($B43,Overview_Report!$B:$B,Overview_Report!AH:AH)</f>
        <v>94748.749331494168</v>
      </c>
    </row>
    <row r="44" spans="1:34" x14ac:dyDescent="0.25">
      <c r="A44" s="1" t="s">
        <v>45</v>
      </c>
      <c r="B44" s="88" t="s">
        <v>26</v>
      </c>
      <c r="C44" s="95"/>
      <c r="D44" s="95"/>
      <c r="E44" s="95"/>
      <c r="F44" s="95"/>
      <c r="G44" s="95"/>
      <c r="H44" s="95"/>
      <c r="I44" s="44">
        <f>_xlfn.XLOOKUP($B44,Overview_Report!$B:$B,Overview_Report!I:I)</f>
        <v>193785.35</v>
      </c>
      <c r="J44" s="44">
        <f>_xlfn.XLOOKUP($B44,Overview_Report!$B:$B,Overview_Report!J:J)</f>
        <v>193785.35</v>
      </c>
      <c r="K44" s="44">
        <f>_xlfn.XLOOKUP($B44,Overview_Report!$B:$B,Overview_Report!K:K)</f>
        <v>193785.35</v>
      </c>
      <c r="L44" s="44">
        <f>_xlfn.XLOOKUP($B44,Overview_Report!$B:$B,Overview_Report!L:L)</f>
        <v>193785.35</v>
      </c>
      <c r="M44" s="44">
        <f>_xlfn.XLOOKUP($B44,Overview_Report!$B:$B,Overview_Report!M:M)</f>
        <v>193785.35</v>
      </c>
      <c r="N44" s="44">
        <f>_xlfn.XLOOKUP($B44,Overview_Report!$B:$B,Overview_Report!N:N)</f>
        <v>193785.35</v>
      </c>
      <c r="O44" s="44">
        <f>_xlfn.XLOOKUP($B44,Overview_Report!$B:$B,Overview_Report!O:O)</f>
        <v>193785.35</v>
      </c>
      <c r="P44" s="44">
        <f>_xlfn.XLOOKUP($B44,Overview_Report!$B:$B,Overview_Report!P:P)</f>
        <v>193785.35</v>
      </c>
      <c r="Q44" s="44">
        <f>_xlfn.XLOOKUP($B44,Overview_Report!$B:$B,Overview_Report!Q:Q)</f>
        <v>193785.35</v>
      </c>
      <c r="R44" s="44">
        <f>_xlfn.XLOOKUP($B44,Overview_Report!$B:$B,Overview_Report!R:R)</f>
        <v>193785.35</v>
      </c>
      <c r="S44" s="44">
        <f>_xlfn.XLOOKUP($B44,Overview_Report!$B:$B,Overview_Report!S:S)</f>
        <v>193785.35</v>
      </c>
      <c r="T44" s="44">
        <f>_xlfn.XLOOKUP($B44,Overview_Report!$B:$B,Overview_Report!T:T)</f>
        <v>193785.35</v>
      </c>
      <c r="U44" s="44">
        <f>_xlfn.XLOOKUP($B44,Overview_Report!$B:$B,Overview_Report!U:U)</f>
        <v>193785.35</v>
      </c>
      <c r="V44" s="44">
        <f>_xlfn.XLOOKUP($B44,Overview_Report!$B:$B,Overview_Report!V:V)</f>
        <v>193785.35</v>
      </c>
      <c r="W44" s="44">
        <f>_xlfn.XLOOKUP($B44,Overview_Report!$B:$B,Overview_Report!W:W)</f>
        <v>193785.35</v>
      </c>
      <c r="X44" s="44">
        <f>_xlfn.XLOOKUP($B44,Overview_Report!$B:$B,Overview_Report!X:X)</f>
        <v>193785.35</v>
      </c>
      <c r="Y44" s="44">
        <f>_xlfn.XLOOKUP($B44,Overview_Report!$B:$B,Overview_Report!Y:Y)</f>
        <v>193785.35</v>
      </c>
      <c r="Z44" s="44">
        <f>_xlfn.XLOOKUP($B44,Overview_Report!$B:$B,Overview_Report!Z:Z)</f>
        <v>193785.35</v>
      </c>
      <c r="AA44" s="44">
        <f>_xlfn.XLOOKUP($B44,Overview_Report!$B:$B,Overview_Report!AA:AA)</f>
        <v>193785.35</v>
      </c>
      <c r="AB44" s="44">
        <f>_xlfn.XLOOKUP($B44,Overview_Report!$B:$B,Overview_Report!AB:AB)</f>
        <v>193785.35</v>
      </c>
      <c r="AC44" s="44">
        <f>_xlfn.XLOOKUP($B44,Overview_Report!$B:$B,Overview_Report!AC:AC)</f>
        <v>193785.35</v>
      </c>
      <c r="AD44" s="44">
        <f>_xlfn.XLOOKUP($B44,Overview_Report!$B:$B,Overview_Report!AD:AD)</f>
        <v>193785.35</v>
      </c>
      <c r="AE44" s="44">
        <f>_xlfn.XLOOKUP($B44,Overview_Report!$B:$B,Overview_Report!AE:AE)</f>
        <v>193785.35</v>
      </c>
      <c r="AF44" s="44">
        <f>_xlfn.XLOOKUP($B44,Overview_Report!$B:$B,Overview_Report!AF:AF)</f>
        <v>193785.35</v>
      </c>
      <c r="AG44" s="44">
        <f>_xlfn.XLOOKUP($B44,Overview_Report!$B:$B,Overview_Report!AG:AG)</f>
        <v>193785.35</v>
      </c>
      <c r="AH44" s="44">
        <f>_xlfn.XLOOKUP($B44,Overview_Report!$B:$B,Overview_Report!AH:AH)</f>
        <v>193785.35</v>
      </c>
    </row>
    <row r="45" spans="1:34" x14ac:dyDescent="0.25">
      <c r="B45" t="s">
        <v>27</v>
      </c>
      <c r="C45" s="44"/>
      <c r="D45" s="44"/>
      <c r="E45" s="44"/>
      <c r="F45" s="44"/>
      <c r="G45" s="44"/>
      <c r="H45" s="44"/>
      <c r="I45" s="44">
        <f>_xlfn.XLOOKUP($B45,Overview_Report!$B:$B,Overview_Report!I:I)</f>
        <v>0.55780816394763577</v>
      </c>
      <c r="J45" s="44">
        <f>_xlfn.XLOOKUP($B45,Overview_Report!$B:$B,Overview_Report!J:J)</f>
        <v>0.56431999636550834</v>
      </c>
      <c r="K45" s="44">
        <f>_xlfn.XLOOKUP($B45,Overview_Report!$B:$B,Overview_Report!K:K)</f>
        <v>0.57026117878914684</v>
      </c>
      <c r="L45" s="44">
        <f>_xlfn.XLOOKUP($B45,Overview_Report!$B:$B,Overview_Report!L:L)</f>
        <v>0.57895933084048845</v>
      </c>
      <c r="M45" s="44">
        <f>_xlfn.XLOOKUP($B45,Overview_Report!$B:$B,Overview_Report!M:M)</f>
        <v>0.5905178772118197</v>
      </c>
      <c r="N45" s="44">
        <f>_xlfn.XLOOKUP($B45,Overview_Report!$B:$B,Overview_Report!N:N)</f>
        <v>0.60197047136234083</v>
      </c>
      <c r="O45" s="44">
        <f>_xlfn.XLOOKUP($B45,Overview_Report!$B:$B,Overview_Report!O:O)</f>
        <v>0.59671519835887621</v>
      </c>
      <c r="P45" s="44">
        <f>_xlfn.XLOOKUP($B45,Overview_Report!$B:$B,Overview_Report!P:P)</f>
        <v>0.59367869469519263</v>
      </c>
      <c r="Q45" s="44">
        <f>_xlfn.XLOOKUP($B45,Overview_Report!$B:$B,Overview_Report!Q:Q)</f>
        <v>0.58159193676547638</v>
      </c>
      <c r="R45" s="44">
        <f>_xlfn.XLOOKUP($B45,Overview_Report!$B:$B,Overview_Report!R:R)</f>
        <v>0.5816532551348077</v>
      </c>
      <c r="S45" s="44">
        <f>_xlfn.XLOOKUP($B45,Overview_Report!$B:$B,Overview_Report!S:S)</f>
        <v>0.56182852203331457</v>
      </c>
      <c r="T45" s="44">
        <f>_xlfn.XLOOKUP($B45,Overview_Report!$B:$B,Overview_Report!T:T)</f>
        <v>0.52824501570722349</v>
      </c>
      <c r="U45" s="44">
        <f>_xlfn.XLOOKUP($B45,Overview_Report!$B:$B,Overview_Report!U:U)</f>
        <v>0.51310150988179704</v>
      </c>
      <c r="V45" s="44">
        <f>_xlfn.XLOOKUP($B45,Overview_Report!$B:$B,Overview_Report!V:V)</f>
        <v>0.52059958135785311</v>
      </c>
      <c r="W45" s="44">
        <f>_xlfn.XLOOKUP($B45,Overview_Report!$B:$B,Overview_Report!W:W)</f>
        <v>0.53032023954561325</v>
      </c>
      <c r="X45" s="44">
        <f>_xlfn.XLOOKUP($B45,Overview_Report!$B:$B,Overview_Report!X:X)</f>
        <v>0.53362705854793857</v>
      </c>
      <c r="Y45" s="44">
        <f>_xlfn.XLOOKUP($B45,Overview_Report!$B:$B,Overview_Report!Y:Y)</f>
        <v>0.52591835559431555</v>
      </c>
      <c r="Z45" s="44">
        <f>_xlfn.XLOOKUP($B45,Overview_Report!$B:$B,Overview_Report!Z:Z)</f>
        <v>0.51848486129182236</v>
      </c>
      <c r="AA45" s="44">
        <f>_xlfn.XLOOKUP($B45,Overview_Report!$B:$B,Overview_Report!AA:AA)</f>
        <v>0.50403038593931515</v>
      </c>
      <c r="AB45" s="44">
        <f>_xlfn.XLOOKUP($B45,Overview_Report!$B:$B,Overview_Report!AB:AB)</f>
        <v>0.49421425194985114</v>
      </c>
      <c r="AC45" s="44">
        <f>_xlfn.XLOOKUP($B45,Overview_Report!$B:$B,Overview_Report!AC:AC)</f>
        <v>0.48952926031073718</v>
      </c>
      <c r="AD45" s="44">
        <f>_xlfn.XLOOKUP($B45,Overview_Report!$B:$B,Overview_Report!AD:AD)</f>
        <v>0.49749327885723049</v>
      </c>
      <c r="AE45" s="44">
        <f>_xlfn.XLOOKUP($B45,Overview_Report!$B:$B,Overview_Report!AE:AE)</f>
        <v>0.50211058612928317</v>
      </c>
      <c r="AF45" s="44">
        <f>_xlfn.XLOOKUP($B45,Overview_Report!$B:$B,Overview_Report!AF:AF)</f>
        <v>0.50057875253886475</v>
      </c>
      <c r="AG45" s="44">
        <f>_xlfn.XLOOKUP($B45,Overview_Report!$B:$B,Overview_Report!AG:AG)</f>
        <v>0.48906768378456211</v>
      </c>
      <c r="AH45" s="44">
        <f>_xlfn.XLOOKUP($B45,Overview_Report!$B:$B,Overview_Report!AH:AH)</f>
        <v>0.4889365957307617</v>
      </c>
    </row>
    <row r="46" spans="1:34" x14ac:dyDescent="0.25">
      <c r="B46" s="83" t="s">
        <v>28</v>
      </c>
      <c r="C46" s="100"/>
      <c r="D46" s="100"/>
      <c r="E46" s="100"/>
      <c r="F46" s="100"/>
      <c r="G46" s="100"/>
      <c r="H46" s="100"/>
      <c r="I46" s="44">
        <f>_xlfn.XLOOKUP($B46,Overview_Report!$B:$B,Overview_Report!I:I)</f>
        <v>0</v>
      </c>
      <c r="J46" s="44">
        <f>_xlfn.XLOOKUP($B46,Overview_Report!$B:$B,Overview_Report!J:J)</f>
        <v>0</v>
      </c>
      <c r="K46" s="44">
        <f>_xlfn.XLOOKUP($B46,Overview_Report!$B:$B,Overview_Report!K:K)</f>
        <v>0</v>
      </c>
      <c r="L46" s="44">
        <f>_xlfn.XLOOKUP($B46,Overview_Report!$B:$B,Overview_Report!L:L)</f>
        <v>0</v>
      </c>
      <c r="M46" s="44">
        <f>_xlfn.XLOOKUP($B46,Overview_Report!$B:$B,Overview_Report!M:M)</f>
        <v>0</v>
      </c>
      <c r="N46" s="44">
        <f>_xlfn.XLOOKUP($B46,Overview_Report!$B:$B,Overview_Report!N:N)</f>
        <v>0</v>
      </c>
      <c r="O46" s="44">
        <f>_xlfn.XLOOKUP($B46,Overview_Report!$B:$B,Overview_Report!O:O)</f>
        <v>0</v>
      </c>
      <c r="P46" s="44">
        <f>_xlfn.XLOOKUP($B46,Overview_Report!$B:$B,Overview_Report!P:P)</f>
        <v>0</v>
      </c>
      <c r="Q46" s="44">
        <f>_xlfn.XLOOKUP($B46,Overview_Report!$B:$B,Overview_Report!Q:Q)</f>
        <v>0</v>
      </c>
      <c r="R46" s="44">
        <f>_xlfn.XLOOKUP($B46,Overview_Report!$B:$B,Overview_Report!R:R)</f>
        <v>0</v>
      </c>
      <c r="S46" s="44">
        <f>_xlfn.XLOOKUP($B46,Overview_Report!$B:$B,Overview_Report!S:S)</f>
        <v>0</v>
      </c>
      <c r="T46" s="44">
        <f>_xlfn.XLOOKUP($B46,Overview_Report!$B:$B,Overview_Report!T:T)</f>
        <v>0</v>
      </c>
      <c r="U46" s="44">
        <f>_xlfn.XLOOKUP($B46,Overview_Report!$B:$B,Overview_Report!U:U)</f>
        <v>0</v>
      </c>
      <c r="V46" s="44">
        <f>_xlfn.XLOOKUP($B46,Overview_Report!$B:$B,Overview_Report!V:V)</f>
        <v>0</v>
      </c>
      <c r="W46" s="44">
        <f>_xlfn.XLOOKUP($B46,Overview_Report!$B:$B,Overview_Report!W:W)</f>
        <v>0</v>
      </c>
      <c r="X46" s="44">
        <f>_xlfn.XLOOKUP($B46,Overview_Report!$B:$B,Overview_Report!X:X)</f>
        <v>0</v>
      </c>
      <c r="Y46" s="44">
        <f>_xlfn.XLOOKUP($B46,Overview_Report!$B:$B,Overview_Report!Y:Y)</f>
        <v>0</v>
      </c>
      <c r="Z46" s="44">
        <f>_xlfn.XLOOKUP($B46,Overview_Report!$B:$B,Overview_Report!Z:Z)</f>
        <v>0</v>
      </c>
      <c r="AA46" s="44">
        <f>_xlfn.XLOOKUP($B46,Overview_Report!$B:$B,Overview_Report!AA:AA)</f>
        <v>0</v>
      </c>
      <c r="AB46" s="44">
        <f>_xlfn.XLOOKUP($B46,Overview_Report!$B:$B,Overview_Report!AB:AB)</f>
        <v>0</v>
      </c>
      <c r="AC46" s="44">
        <f>_xlfn.XLOOKUP($B46,Overview_Report!$B:$B,Overview_Report!AC:AC)</f>
        <v>0</v>
      </c>
      <c r="AD46" s="44">
        <f>_xlfn.XLOOKUP($B46,Overview_Report!$B:$B,Overview_Report!AD:AD)</f>
        <v>0</v>
      </c>
      <c r="AE46" s="44">
        <f>_xlfn.XLOOKUP($B46,Overview_Report!$B:$B,Overview_Report!AE:AE)</f>
        <v>0</v>
      </c>
      <c r="AF46" s="44">
        <f>_xlfn.XLOOKUP($B46,Overview_Report!$B:$B,Overview_Report!AF:AF)</f>
        <v>0</v>
      </c>
      <c r="AG46" s="44">
        <f>_xlfn.XLOOKUP($B46,Overview_Report!$B:$B,Overview_Report!AG:AG)</f>
        <v>0</v>
      </c>
      <c r="AH46" s="44">
        <f>_xlfn.XLOOKUP($B46,Overview_Report!$B:$B,Overview_Report!AH:AH)</f>
        <v>0</v>
      </c>
    </row>
    <row r="47" spans="1:34" x14ac:dyDescent="0.25">
      <c r="B47" s="87" t="s">
        <v>29</v>
      </c>
      <c r="C47" s="95"/>
      <c r="D47" s="95"/>
      <c r="E47" s="95"/>
      <c r="F47" s="95"/>
      <c r="G47" s="95"/>
      <c r="H47" s="95"/>
      <c r="I47" s="44">
        <f>_xlfn.XLOOKUP($B47,Overview_Report!$B:$B,Overview_Report!I:I)</f>
        <v>0</v>
      </c>
      <c r="J47" s="44">
        <f>_xlfn.XLOOKUP($B47,Overview_Report!$B:$B,Overview_Report!J:J)</f>
        <v>0</v>
      </c>
      <c r="K47" s="44">
        <f>_xlfn.XLOOKUP($B47,Overview_Report!$B:$B,Overview_Report!K:K)</f>
        <v>0</v>
      </c>
      <c r="L47" s="44">
        <f>_xlfn.XLOOKUP($B47,Overview_Report!$B:$B,Overview_Report!L:L)</f>
        <v>0</v>
      </c>
      <c r="M47" s="44">
        <f>_xlfn.XLOOKUP($B47,Overview_Report!$B:$B,Overview_Report!M:M)</f>
        <v>0</v>
      </c>
      <c r="N47" s="44">
        <f>_xlfn.XLOOKUP($B47,Overview_Report!$B:$B,Overview_Report!N:N)</f>
        <v>0</v>
      </c>
      <c r="O47" s="44">
        <f>_xlfn.XLOOKUP($B47,Overview_Report!$B:$B,Overview_Report!O:O)</f>
        <v>0</v>
      </c>
      <c r="P47" s="44">
        <f>_xlfn.XLOOKUP($B47,Overview_Report!$B:$B,Overview_Report!P:P)</f>
        <v>0</v>
      </c>
      <c r="Q47" s="44">
        <f>_xlfn.XLOOKUP($B47,Overview_Report!$B:$B,Overview_Report!Q:Q)</f>
        <v>0</v>
      </c>
      <c r="R47" s="44">
        <f>_xlfn.XLOOKUP($B47,Overview_Report!$B:$B,Overview_Report!R:R)</f>
        <v>0</v>
      </c>
      <c r="S47" s="44">
        <f>_xlfn.XLOOKUP($B47,Overview_Report!$B:$B,Overview_Report!S:S)</f>
        <v>0</v>
      </c>
      <c r="T47" s="44">
        <f>_xlfn.XLOOKUP($B47,Overview_Report!$B:$B,Overview_Report!T:T)</f>
        <v>0</v>
      </c>
      <c r="U47" s="44">
        <f>_xlfn.XLOOKUP($B47,Overview_Report!$B:$B,Overview_Report!U:U)</f>
        <v>0</v>
      </c>
      <c r="V47" s="44">
        <f>_xlfn.XLOOKUP($B47,Overview_Report!$B:$B,Overview_Report!V:V)</f>
        <v>0</v>
      </c>
      <c r="W47" s="44">
        <f>_xlfn.XLOOKUP($B47,Overview_Report!$B:$B,Overview_Report!W:W)</f>
        <v>0</v>
      </c>
      <c r="X47" s="44">
        <f>_xlfn.XLOOKUP($B47,Overview_Report!$B:$B,Overview_Report!X:X)</f>
        <v>0</v>
      </c>
      <c r="Y47" s="44">
        <f>_xlfn.XLOOKUP($B47,Overview_Report!$B:$B,Overview_Report!Y:Y)</f>
        <v>0</v>
      </c>
      <c r="Z47" s="44">
        <f>_xlfn.XLOOKUP($B47,Overview_Report!$B:$B,Overview_Report!Z:Z)</f>
        <v>0</v>
      </c>
      <c r="AA47" s="44">
        <f>_xlfn.XLOOKUP($B47,Overview_Report!$B:$B,Overview_Report!AA:AA)</f>
        <v>0</v>
      </c>
      <c r="AB47" s="44">
        <f>_xlfn.XLOOKUP($B47,Overview_Report!$B:$B,Overview_Report!AB:AB)</f>
        <v>0</v>
      </c>
      <c r="AC47" s="44">
        <f>_xlfn.XLOOKUP($B47,Overview_Report!$B:$B,Overview_Report!AC:AC)</f>
        <v>0</v>
      </c>
      <c r="AD47" s="44">
        <f>_xlfn.XLOOKUP($B47,Overview_Report!$B:$B,Overview_Report!AD:AD)</f>
        <v>0</v>
      </c>
      <c r="AE47" s="44">
        <f>_xlfn.XLOOKUP($B47,Overview_Report!$B:$B,Overview_Report!AE:AE)</f>
        <v>0</v>
      </c>
      <c r="AF47" s="44">
        <f>_xlfn.XLOOKUP($B47,Overview_Report!$B:$B,Overview_Report!AF:AF)</f>
        <v>0</v>
      </c>
      <c r="AG47" s="44">
        <f>_xlfn.XLOOKUP($B47,Overview_Report!$B:$B,Overview_Report!AG:AG)</f>
        <v>0</v>
      </c>
      <c r="AH47" s="44">
        <f>_xlfn.XLOOKUP($B47,Overview_Report!$B:$B,Overview_Report!AH:AH)</f>
        <v>0</v>
      </c>
    </row>
    <row r="48" spans="1:34" x14ac:dyDescent="0.25">
      <c r="B48" t="s">
        <v>30</v>
      </c>
      <c r="C48" s="101"/>
      <c r="D48" s="101"/>
      <c r="E48" s="101"/>
      <c r="F48" s="101"/>
      <c r="G48" s="101"/>
      <c r="H48" s="101"/>
      <c r="I48" s="44">
        <f>_xlfn.XLOOKUP($B48,Overview_Report!$B:$B,Overview_Report!I:I)</f>
        <v>0</v>
      </c>
      <c r="J48" s="44">
        <f>_xlfn.XLOOKUP($B48,Overview_Report!$B:$B,Overview_Report!J:J)</f>
        <v>0</v>
      </c>
      <c r="K48" s="44">
        <f>_xlfn.XLOOKUP($B48,Overview_Report!$B:$B,Overview_Report!K:K)</f>
        <v>0</v>
      </c>
      <c r="L48" s="44">
        <f>_xlfn.XLOOKUP($B48,Overview_Report!$B:$B,Overview_Report!L:L)</f>
        <v>0</v>
      </c>
      <c r="M48" s="44">
        <f>_xlfn.XLOOKUP($B48,Overview_Report!$B:$B,Overview_Report!M:M)</f>
        <v>0</v>
      </c>
      <c r="N48" s="44">
        <f>_xlfn.XLOOKUP($B48,Overview_Report!$B:$B,Overview_Report!N:N)</f>
        <v>0</v>
      </c>
      <c r="O48" s="44">
        <f>_xlfn.XLOOKUP($B48,Overview_Report!$B:$B,Overview_Report!O:O)</f>
        <v>0</v>
      </c>
      <c r="P48" s="44">
        <f>_xlfn.XLOOKUP($B48,Overview_Report!$B:$B,Overview_Report!P:P)</f>
        <v>0</v>
      </c>
      <c r="Q48" s="44">
        <f>_xlfn.XLOOKUP($B48,Overview_Report!$B:$B,Overview_Report!Q:Q)</f>
        <v>0</v>
      </c>
      <c r="R48" s="44">
        <f>_xlfn.XLOOKUP($B48,Overview_Report!$B:$B,Overview_Report!R:R)</f>
        <v>0</v>
      </c>
      <c r="S48" s="44">
        <f>_xlfn.XLOOKUP($B48,Overview_Report!$B:$B,Overview_Report!S:S)</f>
        <v>0</v>
      </c>
      <c r="T48" s="44">
        <f>_xlfn.XLOOKUP($B48,Overview_Report!$B:$B,Overview_Report!T:T)</f>
        <v>0</v>
      </c>
      <c r="U48" s="44">
        <f>_xlfn.XLOOKUP($B48,Overview_Report!$B:$B,Overview_Report!U:U)</f>
        <v>0</v>
      </c>
      <c r="V48" s="44">
        <f>_xlfn.XLOOKUP($B48,Overview_Report!$B:$B,Overview_Report!V:V)</f>
        <v>0</v>
      </c>
      <c r="W48" s="44">
        <f>_xlfn.XLOOKUP($B48,Overview_Report!$B:$B,Overview_Report!W:W)</f>
        <v>0</v>
      </c>
      <c r="X48" s="44">
        <f>_xlfn.XLOOKUP($B48,Overview_Report!$B:$B,Overview_Report!X:X)</f>
        <v>0</v>
      </c>
      <c r="Y48" s="44">
        <f>_xlfn.XLOOKUP($B48,Overview_Report!$B:$B,Overview_Report!Y:Y)</f>
        <v>0</v>
      </c>
      <c r="Z48" s="44">
        <f>_xlfn.XLOOKUP($B48,Overview_Report!$B:$B,Overview_Report!Z:Z)</f>
        <v>0</v>
      </c>
      <c r="AA48" s="44">
        <f>_xlfn.XLOOKUP($B48,Overview_Report!$B:$B,Overview_Report!AA:AA)</f>
        <v>0</v>
      </c>
      <c r="AB48" s="44">
        <f>_xlfn.XLOOKUP($B48,Overview_Report!$B:$B,Overview_Report!AB:AB)</f>
        <v>0</v>
      </c>
      <c r="AC48" s="44">
        <f>_xlfn.XLOOKUP($B48,Overview_Report!$B:$B,Overview_Report!AC:AC)</f>
        <v>0</v>
      </c>
      <c r="AD48" s="44">
        <f>_xlfn.XLOOKUP($B48,Overview_Report!$B:$B,Overview_Report!AD:AD)</f>
        <v>0</v>
      </c>
      <c r="AE48" s="44">
        <f>_xlfn.XLOOKUP($B48,Overview_Report!$B:$B,Overview_Report!AE:AE)</f>
        <v>0</v>
      </c>
      <c r="AF48" s="44">
        <f>_xlfn.XLOOKUP($B48,Overview_Report!$B:$B,Overview_Report!AF:AF)</f>
        <v>0</v>
      </c>
      <c r="AG48" s="44">
        <f>_xlfn.XLOOKUP($B48,Overview_Report!$B:$B,Overview_Report!AG:AG)</f>
        <v>0</v>
      </c>
      <c r="AH48" s="44">
        <f>_xlfn.XLOOKUP($B48,Overview_Report!$B:$B,Overview_Report!AH:AH)</f>
        <v>0</v>
      </c>
    </row>
    <row r="49" spans="2:34" x14ac:dyDescent="0.25">
      <c r="B49" t="s">
        <v>31</v>
      </c>
      <c r="C49" s="95"/>
      <c r="D49" s="95"/>
      <c r="E49" s="95"/>
      <c r="F49" s="95"/>
      <c r="G49" s="95"/>
      <c r="H49" s="95"/>
      <c r="I49" s="44">
        <f>_xlfn.XLOOKUP($B49,Overview_Report!$B:$B,Overview_Report!I:I)</f>
        <v>193785.35</v>
      </c>
      <c r="J49" s="44">
        <f>_xlfn.XLOOKUP($B49,Overview_Report!$B:$B,Overview_Report!J:J)</f>
        <v>193785.35</v>
      </c>
      <c r="K49" s="44">
        <f>_xlfn.XLOOKUP($B49,Overview_Report!$B:$B,Overview_Report!K:K)</f>
        <v>193785.35</v>
      </c>
      <c r="L49" s="44">
        <f>_xlfn.XLOOKUP($B49,Overview_Report!$B:$B,Overview_Report!L:L)</f>
        <v>193785.35</v>
      </c>
      <c r="M49" s="44">
        <f>_xlfn.XLOOKUP($B49,Overview_Report!$B:$B,Overview_Report!M:M)</f>
        <v>193785.35</v>
      </c>
      <c r="N49" s="44">
        <f>_xlfn.XLOOKUP($B49,Overview_Report!$B:$B,Overview_Report!N:N)</f>
        <v>193785.35</v>
      </c>
      <c r="O49" s="44">
        <f>_xlfn.XLOOKUP($B49,Overview_Report!$B:$B,Overview_Report!O:O)</f>
        <v>193785.35</v>
      </c>
      <c r="P49" s="44">
        <f>_xlfn.XLOOKUP($B49,Overview_Report!$B:$B,Overview_Report!P:P)</f>
        <v>193785.35</v>
      </c>
      <c r="Q49" s="44">
        <f>_xlfn.XLOOKUP($B49,Overview_Report!$B:$B,Overview_Report!Q:Q)</f>
        <v>193785.35</v>
      </c>
      <c r="R49" s="44">
        <f>_xlfn.XLOOKUP($B49,Overview_Report!$B:$B,Overview_Report!R:R)</f>
        <v>193785.35</v>
      </c>
      <c r="S49" s="44">
        <f>_xlfn.XLOOKUP($B49,Overview_Report!$B:$B,Overview_Report!S:S)</f>
        <v>193785.35</v>
      </c>
      <c r="T49" s="44">
        <f>_xlfn.XLOOKUP($B49,Overview_Report!$B:$B,Overview_Report!T:T)</f>
        <v>193785.35</v>
      </c>
      <c r="U49" s="44">
        <f>_xlfn.XLOOKUP($B49,Overview_Report!$B:$B,Overview_Report!U:U)</f>
        <v>193785.35</v>
      </c>
      <c r="V49" s="44">
        <f>_xlfn.XLOOKUP($B49,Overview_Report!$B:$B,Overview_Report!V:V)</f>
        <v>193785.35</v>
      </c>
      <c r="W49" s="44">
        <f>_xlfn.XLOOKUP($B49,Overview_Report!$B:$B,Overview_Report!W:W)</f>
        <v>193785.35</v>
      </c>
      <c r="X49" s="44">
        <f>_xlfn.XLOOKUP($B49,Overview_Report!$B:$B,Overview_Report!X:X)</f>
        <v>193785.35</v>
      </c>
      <c r="Y49" s="44">
        <f>_xlfn.XLOOKUP($B49,Overview_Report!$B:$B,Overview_Report!Y:Y)</f>
        <v>193785.35</v>
      </c>
      <c r="Z49" s="44">
        <f>_xlfn.XLOOKUP($B49,Overview_Report!$B:$B,Overview_Report!Z:Z)</f>
        <v>193785.35</v>
      </c>
      <c r="AA49" s="44">
        <f>_xlfn.XLOOKUP($B49,Overview_Report!$B:$B,Overview_Report!AA:AA)</f>
        <v>193785.35</v>
      </c>
      <c r="AB49" s="44">
        <f>_xlfn.XLOOKUP($B49,Overview_Report!$B:$B,Overview_Report!AB:AB)</f>
        <v>193785.35</v>
      </c>
      <c r="AC49" s="44">
        <f>_xlfn.XLOOKUP($B49,Overview_Report!$B:$B,Overview_Report!AC:AC)</f>
        <v>193785.35</v>
      </c>
      <c r="AD49" s="44">
        <f>_xlfn.XLOOKUP($B49,Overview_Report!$B:$B,Overview_Report!AD:AD)</f>
        <v>193785.35</v>
      </c>
      <c r="AE49" s="44">
        <f>_xlfn.XLOOKUP($B49,Overview_Report!$B:$B,Overview_Report!AE:AE)</f>
        <v>193785.35</v>
      </c>
      <c r="AF49" s="44">
        <f>_xlfn.XLOOKUP($B49,Overview_Report!$B:$B,Overview_Report!AF:AF)</f>
        <v>193785.35</v>
      </c>
      <c r="AG49" s="44">
        <f>_xlfn.XLOOKUP($B49,Overview_Report!$B:$B,Overview_Report!AG:AG)</f>
        <v>193785.35</v>
      </c>
      <c r="AH49" s="44">
        <f>_xlfn.XLOOKUP($B49,Overview_Report!$B:$B,Overview_Report!AH:AH)</f>
        <v>193785.35</v>
      </c>
    </row>
    <row r="50" spans="2:34" x14ac:dyDescent="0.25">
      <c r="B50" t="s">
        <v>32</v>
      </c>
      <c r="C50" s="91"/>
      <c r="D50" s="91"/>
      <c r="E50" s="91"/>
      <c r="F50" s="91"/>
      <c r="G50" s="91"/>
      <c r="H50" s="91"/>
      <c r="I50" s="44">
        <f>_xlfn.XLOOKUP($B50,Overview_Report!$B:$B,Overview_Report!I:I)</f>
        <v>0.55780816394763577</v>
      </c>
      <c r="J50" s="44">
        <f>_xlfn.XLOOKUP($B50,Overview_Report!$B:$B,Overview_Report!J:J)</f>
        <v>0.56431999636550834</v>
      </c>
      <c r="K50" s="44">
        <f>_xlfn.XLOOKUP($B50,Overview_Report!$B:$B,Overview_Report!K:K)</f>
        <v>0.57026117878914684</v>
      </c>
      <c r="L50" s="44">
        <f>_xlfn.XLOOKUP($B50,Overview_Report!$B:$B,Overview_Report!L:L)</f>
        <v>0.57895933084048845</v>
      </c>
      <c r="M50" s="44">
        <f>_xlfn.XLOOKUP($B50,Overview_Report!$B:$B,Overview_Report!M:M)</f>
        <v>0.5905178772118197</v>
      </c>
      <c r="N50" s="44">
        <f>_xlfn.XLOOKUP($B50,Overview_Report!$B:$B,Overview_Report!N:N)</f>
        <v>0.60197047136234083</v>
      </c>
      <c r="O50" s="44">
        <f>_xlfn.XLOOKUP($B50,Overview_Report!$B:$B,Overview_Report!O:O)</f>
        <v>0.59671519835887621</v>
      </c>
      <c r="P50" s="44">
        <f>_xlfn.XLOOKUP($B50,Overview_Report!$B:$B,Overview_Report!P:P)</f>
        <v>0.59367869469519263</v>
      </c>
      <c r="Q50" s="44">
        <f>_xlfn.XLOOKUP($B50,Overview_Report!$B:$B,Overview_Report!Q:Q)</f>
        <v>0.58159193676547638</v>
      </c>
      <c r="R50" s="44">
        <f>_xlfn.XLOOKUP($B50,Overview_Report!$B:$B,Overview_Report!R:R)</f>
        <v>0.5816532551348077</v>
      </c>
      <c r="S50" s="44">
        <f>_xlfn.XLOOKUP($B50,Overview_Report!$B:$B,Overview_Report!S:S)</f>
        <v>0.56182852203331457</v>
      </c>
      <c r="T50" s="44">
        <f>_xlfn.XLOOKUP($B50,Overview_Report!$B:$B,Overview_Report!T:T)</f>
        <v>0.52824501570722349</v>
      </c>
      <c r="U50" s="44">
        <f>_xlfn.XLOOKUP($B50,Overview_Report!$B:$B,Overview_Report!U:U)</f>
        <v>0.51310150988179704</v>
      </c>
      <c r="V50" s="44">
        <f>_xlfn.XLOOKUP($B50,Overview_Report!$B:$B,Overview_Report!V:V)</f>
        <v>0.52059958135785311</v>
      </c>
      <c r="W50" s="44">
        <f>_xlfn.XLOOKUP($B50,Overview_Report!$B:$B,Overview_Report!W:W)</f>
        <v>0.53032023954561325</v>
      </c>
      <c r="X50" s="44">
        <f>_xlfn.XLOOKUP($B50,Overview_Report!$B:$B,Overview_Report!X:X)</f>
        <v>0.53362705854793857</v>
      </c>
      <c r="Y50" s="44">
        <f>_xlfn.XLOOKUP($B50,Overview_Report!$B:$B,Overview_Report!Y:Y)</f>
        <v>0.52591835559431555</v>
      </c>
      <c r="Z50" s="44">
        <f>_xlfn.XLOOKUP($B50,Overview_Report!$B:$B,Overview_Report!Z:Z)</f>
        <v>0.51848486129182236</v>
      </c>
      <c r="AA50" s="44">
        <f>_xlfn.XLOOKUP($B50,Overview_Report!$B:$B,Overview_Report!AA:AA)</f>
        <v>0.50403038593931515</v>
      </c>
      <c r="AB50" s="44">
        <f>_xlfn.XLOOKUP($B50,Overview_Report!$B:$B,Overview_Report!AB:AB)</f>
        <v>0.49421425194985114</v>
      </c>
      <c r="AC50" s="44">
        <f>_xlfn.XLOOKUP($B50,Overview_Report!$B:$B,Overview_Report!AC:AC)</f>
        <v>0.48952926031073718</v>
      </c>
      <c r="AD50" s="44">
        <f>_xlfn.XLOOKUP($B50,Overview_Report!$B:$B,Overview_Report!AD:AD)</f>
        <v>0.49749327885723049</v>
      </c>
      <c r="AE50" s="44">
        <f>_xlfn.XLOOKUP($B50,Overview_Report!$B:$B,Overview_Report!AE:AE)</f>
        <v>0.50211058612928317</v>
      </c>
      <c r="AF50" s="44">
        <f>_xlfn.XLOOKUP($B50,Overview_Report!$B:$B,Overview_Report!AF:AF)</f>
        <v>0.50057875253886475</v>
      </c>
      <c r="AG50" s="44">
        <f>_xlfn.XLOOKUP($B50,Overview_Report!$B:$B,Overview_Report!AG:AG)</f>
        <v>0.48906768378456211</v>
      </c>
      <c r="AH50" s="44">
        <f>_xlfn.XLOOKUP($B50,Overview_Report!$B:$B,Overview_Report!AH:AH)</f>
        <v>0.4889365957307617</v>
      </c>
    </row>
    <row r="51" spans="2:34" x14ac:dyDescent="0.25">
      <c r="B51" t="s">
        <v>80</v>
      </c>
      <c r="I51" s="44">
        <f>_xlfn.XLOOKUP($B51,Overview_Report!$B:$B,Overview_Report!I:I)</f>
        <v>0.67262798465511009</v>
      </c>
      <c r="J51" s="44">
        <f>_xlfn.XLOOKUP($B51,Overview_Report!$B:$B,Overview_Report!J:J)</f>
        <v>0.66531793622234126</v>
      </c>
      <c r="K51" s="44">
        <f>_xlfn.XLOOKUP($B51,Overview_Report!$B:$B,Overview_Report!K:K)</f>
        <v>0.64877285650697147</v>
      </c>
      <c r="L51" s="44">
        <f>_xlfn.XLOOKUP($B51,Overview_Report!$B:$B,Overview_Report!L:L)</f>
        <v>0.64029813055170437</v>
      </c>
      <c r="M51" s="44">
        <f>_xlfn.XLOOKUP($B51,Overview_Report!$B:$B,Overview_Report!M:M)</f>
        <v>0.63817711081535489</v>
      </c>
      <c r="N51" s="44">
        <f>_xlfn.XLOOKUP($B51,Overview_Report!$B:$B,Overview_Report!N:N)</f>
        <v>0.63511005456675274</v>
      </c>
      <c r="O51" s="44">
        <f>_xlfn.XLOOKUP($B51,Overview_Report!$B:$B,Overview_Report!O:O)</f>
        <v>0.61806049039964139</v>
      </c>
      <c r="P51" s="44">
        <f>_xlfn.XLOOKUP($B51,Overview_Report!$B:$B,Overview_Report!P:P)</f>
        <v>0.61518470456420327</v>
      </c>
      <c r="Q51" s="44">
        <f>_xlfn.XLOOKUP($B51,Overview_Report!$B:$B,Overview_Report!Q:Q)</f>
        <v>0.60373768157313568</v>
      </c>
      <c r="R51" s="44">
        <f>_xlfn.XLOOKUP($B51,Overview_Report!$B:$B,Overview_Report!R:R)</f>
        <v>0.60379575444822686</v>
      </c>
      <c r="S51" s="44">
        <f>_xlfn.XLOOKUP($B51,Overview_Report!$B:$B,Overview_Report!S:S)</f>
        <v>0.58502031632626084</v>
      </c>
      <c r="T51" s="44">
        <f>_xlfn.XLOOKUP($B51,Overview_Report!$B:$B,Overview_Report!T:T)</f>
        <v>0.55321433731428171</v>
      </c>
      <c r="U51" s="44">
        <f>_xlfn.XLOOKUP($B51,Overview_Report!$B:$B,Overview_Report!U:U)</f>
        <v>0.53887235575421144</v>
      </c>
      <c r="V51" s="44">
        <f>_xlfn.XLOOKUP($B51,Overview_Report!$B:$B,Overview_Report!V:V)</f>
        <v>0.54597356495143223</v>
      </c>
      <c r="W51" s="44">
        <f>_xlfn.XLOOKUP($B51,Overview_Report!$B:$B,Overview_Report!W:W)</f>
        <v>0.55517972250092928</v>
      </c>
      <c r="X51" s="44">
        <f>_xlfn.XLOOKUP($B51,Overview_Report!$B:$B,Overview_Report!X:X)</f>
        <v>0.55831151626787912</v>
      </c>
      <c r="Y51" s="44">
        <f>_xlfn.XLOOKUP($B51,Overview_Report!$B:$B,Overview_Report!Y:Y)</f>
        <v>0.55101082401818291</v>
      </c>
      <c r="Z51" s="44">
        <f>_xlfn.XLOOKUP($B51,Overview_Report!$B:$B,Overview_Report!Z:Z)</f>
        <v>0.54397077401640326</v>
      </c>
      <c r="AA51" s="44">
        <f>_xlfn.XLOOKUP($B51,Overview_Report!$B:$B,Overview_Report!AA:AA)</f>
        <v>0.53028135352448036</v>
      </c>
      <c r="AB51" s="44">
        <f>_xlfn.XLOOKUP($B51,Overview_Report!$B:$B,Overview_Report!AB:AB)</f>
        <v>0.52098477357192452</v>
      </c>
      <c r="AC51" s="44">
        <f>_xlfn.XLOOKUP($B51,Overview_Report!$B:$B,Overview_Report!AC:AC)</f>
        <v>0.51654775188937341</v>
      </c>
      <c r="AD51" s="44">
        <f>_xlfn.XLOOKUP($B51,Overview_Report!$B:$B,Overview_Report!AD:AD)</f>
        <v>0.52409024624005973</v>
      </c>
      <c r="AE51" s="44">
        <f>_xlfn.XLOOKUP($B51,Overview_Report!$B:$B,Overview_Report!AE:AE)</f>
        <v>0.52846316599301213</v>
      </c>
      <c r="AF51" s="44">
        <f>_xlfn.XLOOKUP($B51,Overview_Report!$B:$B,Overview_Report!AF:AF)</f>
        <v>0.52701241017991707</v>
      </c>
      <c r="AG51" s="44">
        <f>_xlfn.XLOOKUP($B51,Overview_Report!$B:$B,Overview_Report!AG:AG)</f>
        <v>0.51611060595346681</v>
      </c>
      <c r="AH51" s="44">
        <f>_xlfn.XLOOKUP($B51,Overview_Report!$B:$B,Overview_Report!AH:AH)</f>
        <v>0.5159864562042592</v>
      </c>
    </row>
  </sheetData>
  <mergeCells count="1">
    <mergeCell ref="C2:H2"/>
  </mergeCells>
  <pageMargins left="0.7" right="0.7" top="0.75" bottom="0.75" header="0.3" footer="0.3"/>
  <pageSetup paperSize="9" orientation="portrait" verticalDpi="0" r:id="rId1"/>
  <headerFooter>
    <oddFooter>&amp;C_x000D_&amp;1#&amp;"Noto IKEA Latin"&amp;8&amp;K5A5A5A Internal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6:AQ104"/>
  <sheetViews>
    <sheetView showGridLines="0" zoomScale="80" zoomScaleNormal="80" workbookViewId="0">
      <selection activeCell="J12" sqref="J12"/>
    </sheetView>
  </sheetViews>
  <sheetFormatPr defaultRowHeight="15" x14ac:dyDescent="0.25"/>
  <cols>
    <col min="1" max="1" width="48.42578125" customWidth="1"/>
    <col min="2" max="35" width="8.42578125" customWidth="1"/>
    <col min="36" max="36" width="4.7109375" customWidth="1"/>
    <col min="37" max="37" width="23.85546875" customWidth="1"/>
    <col min="38" max="38" width="12.140625" customWidth="1"/>
    <col min="40" max="40" width="3.7109375" customWidth="1"/>
    <col min="41" max="41" width="25.5703125" customWidth="1"/>
    <col min="42" max="42" width="12.42578125" customWidth="1"/>
  </cols>
  <sheetData>
    <row r="16" spans="1:34" x14ac:dyDescent="0.25">
      <c r="A16" s="14"/>
      <c r="B16" s="9" t="str">
        <f>Overview_Report!C5</f>
        <v>202631</v>
      </c>
      <c r="C16" s="9" t="str">
        <f>Overview_Report!D5</f>
        <v>202632</v>
      </c>
      <c r="D16" s="9" t="str">
        <f>Overview_Report!E5</f>
        <v>202633</v>
      </c>
      <c r="E16" s="9" t="str">
        <f>Overview_Report!F5</f>
        <v>202634</v>
      </c>
      <c r="F16" s="9" t="str">
        <f>Overview_Report!G5</f>
        <v>202635</v>
      </c>
      <c r="G16" s="9" t="str">
        <f>Overview_Report!H5</f>
        <v>202636</v>
      </c>
      <c r="H16" s="9" t="str">
        <f>Overview_Report!I5</f>
        <v>202637</v>
      </c>
      <c r="I16" s="9" t="str">
        <f>Overview_Report!J5</f>
        <v>202638</v>
      </c>
      <c r="J16" s="9" t="str">
        <f>Overview_Report!K5</f>
        <v>202639</v>
      </c>
      <c r="K16" s="9" t="str">
        <f>Overview_Report!L5</f>
        <v>202640</v>
      </c>
      <c r="L16" s="9" t="str">
        <f>Overview_Report!M5</f>
        <v>202641</v>
      </c>
      <c r="M16" s="9" t="str">
        <f>Overview_Report!N5</f>
        <v>202642</v>
      </c>
      <c r="N16" s="9" t="str">
        <f>Overview_Report!O5</f>
        <v>202643</v>
      </c>
      <c r="O16" s="9" t="str">
        <f>Overview_Report!P5</f>
        <v>202644</v>
      </c>
      <c r="P16" s="9" t="str">
        <f>Overview_Report!Q5</f>
        <v>202645</v>
      </c>
      <c r="Q16" s="9" t="str">
        <f>Overview_Report!R5</f>
        <v>202646</v>
      </c>
      <c r="R16" s="9" t="str">
        <f>Overview_Report!S5</f>
        <v>202647</v>
      </c>
      <c r="S16" s="9" t="str">
        <f>Overview_Report!T5</f>
        <v>202648</v>
      </c>
      <c r="T16" s="9" t="str">
        <f>Overview_Report!U5</f>
        <v>202649</v>
      </c>
      <c r="U16" s="9" t="str">
        <f>Overview_Report!V5</f>
        <v>202650</v>
      </c>
      <c r="V16" s="9" t="str">
        <f>Overview_Report!W5</f>
        <v>202651</v>
      </c>
      <c r="W16" s="9" t="str">
        <f>Overview_Report!X5</f>
        <v>202652</v>
      </c>
      <c r="X16" s="9" t="str">
        <f>Overview_Report!Y5</f>
        <v>202653</v>
      </c>
      <c r="Y16" s="9" t="str">
        <f>Overview_Report!Z5</f>
        <v>202701</v>
      </c>
      <c r="Z16" s="9" t="str">
        <f>Overview_Report!AA5</f>
        <v>202702</v>
      </c>
      <c r="AA16" s="9" t="str">
        <f>Overview_Report!AB5</f>
        <v>202703</v>
      </c>
      <c r="AB16" s="9" t="str">
        <f>Overview_Report!AC5</f>
        <v>202704</v>
      </c>
      <c r="AC16" s="9" t="str">
        <f>Overview_Report!AD5</f>
        <v>202705</v>
      </c>
      <c r="AD16" s="9" t="str">
        <f>Overview_Report!AE5</f>
        <v>202706</v>
      </c>
      <c r="AE16" s="9" t="str">
        <f>Overview_Report!AF5</f>
        <v>202707</v>
      </c>
      <c r="AF16" s="9" t="str">
        <f>Overview_Report!AG5</f>
        <v>202708</v>
      </c>
      <c r="AG16" s="9" t="str">
        <f>Overview_Report!AH5</f>
        <v>202709</v>
      </c>
      <c r="AH16" s="9" t="s">
        <v>53</v>
      </c>
    </row>
    <row r="17" spans="1:43" x14ac:dyDescent="0.25">
      <c r="A17" t="str">
        <f>Overview_Report!B7</f>
        <v>Total DC In to Stock (Queue Corrected)</v>
      </c>
      <c r="B17" s="27">
        <f>_xlfn.XLOOKUP($A$17,'Act Data Set'!$B:$B,'Act Data Set'!C:C)</f>
        <v>17464.036</v>
      </c>
      <c r="C17" s="27">
        <f>_xlfn.XLOOKUP($A$17,'Act Data Set'!$B:$B,'Act Data Set'!D:D)</f>
        <v>9095.2099999999991</v>
      </c>
      <c r="D17" s="27">
        <f>_xlfn.XLOOKUP($A$17,'Act Data Set'!$B:$B,'Act Data Set'!E:E)</f>
        <v>10503.363999999998</v>
      </c>
      <c r="E17" s="27">
        <f>_xlfn.XLOOKUP($A$17,'Act Data Set'!$B:$B,'Act Data Set'!F:F)</f>
        <v>17607.023000000001</v>
      </c>
      <c r="F17" s="27">
        <f>_xlfn.XLOOKUP($A$17,'Act Data Set'!$B:$B,'Act Data Set'!G:G)</f>
        <v>14166.209000000001</v>
      </c>
      <c r="G17" s="27">
        <f>_xlfn.XLOOKUP($A$17,'Act Data Set'!$B:$B,'Act Data Set'!H:H)</f>
        <v>11395.806</v>
      </c>
      <c r="H17" s="21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7">
        <f>AVERAGE(B17:G17)</f>
        <v>13371.941333333334</v>
      </c>
    </row>
    <row r="18" spans="1:43" x14ac:dyDescent="0.25">
      <c r="A18" s="59" t="str">
        <f>A17&amp;" Forecast"</f>
        <v>Total DC In to Stock (Queue Corrected) Forecast</v>
      </c>
      <c r="B18" s="171"/>
      <c r="C18" s="172"/>
      <c r="D18" s="172"/>
      <c r="E18" s="172"/>
      <c r="F18" s="172"/>
      <c r="G18" s="173"/>
      <c r="H18" s="105">
        <f>_xlfn.XLOOKUP($A$17,'FC1 Data Set'!$B:$B,'FC1 Data Set'!I:I)</f>
        <v>10691.360499999997</v>
      </c>
      <c r="I18" s="105">
        <f>_xlfn.XLOOKUP($A$17,'FC1 Data Set'!$B:$B,'FC1 Data Set'!J:J)</f>
        <v>12591.411881412061</v>
      </c>
      <c r="J18" s="105">
        <f>_xlfn.XLOOKUP($A$17,'FC1 Data Set'!$B:$B,'FC1 Data Set'!K:K)</f>
        <v>9816.422723261705</v>
      </c>
      <c r="K18" s="105">
        <f>_xlfn.XLOOKUP($A$17,'FC1 Data Set'!$B:$B,'FC1 Data Set'!L:L)</f>
        <v>11558.830982508942</v>
      </c>
      <c r="L18" s="105">
        <f>_xlfn.XLOOKUP($A$17,'FC1 Data Set'!$B:$B,'FC1 Data Set'!M:M)</f>
        <v>12722.086804289949</v>
      </c>
      <c r="M18" s="105">
        <f>_xlfn.XLOOKUP($A$17,'FC1 Data Set'!$B:$B,'FC1 Data Set'!N:N)</f>
        <v>12452.173212222573</v>
      </c>
      <c r="N18" s="105">
        <f>_xlfn.XLOOKUP($A$17,'FC1 Data Set'!$B:$B,'FC1 Data Set'!O:O)</f>
        <v>10719.757460599054</v>
      </c>
      <c r="O18" s="105">
        <f>_xlfn.XLOOKUP($A$17,'FC1 Data Set'!$B:$B,'FC1 Data Set'!P:P)</f>
        <v>13246.090074756803</v>
      </c>
      <c r="P18" s="105">
        <f>_xlfn.XLOOKUP($A$17,'FC1 Data Set'!$B:$B,'FC1 Data Set'!Q:Q)</f>
        <v>11270.433384224656</v>
      </c>
      <c r="Q18" s="105">
        <f>_xlfn.XLOOKUP($A$17,'FC1 Data Set'!$B:$B,'FC1 Data Set'!R:R)</f>
        <v>13347.992601662299</v>
      </c>
      <c r="R18" s="105">
        <f>_xlfn.XLOOKUP($A$17,'FC1 Data Set'!$B:$B,'FC1 Data Set'!S:S)</f>
        <v>9557.7071572705609</v>
      </c>
      <c r="S18" s="105">
        <f>_xlfn.XLOOKUP($A$17,'FC1 Data Set'!$B:$B,'FC1 Data Set'!T:T)</f>
        <v>9005.6084723712429</v>
      </c>
      <c r="T18" s="105">
        <f>_xlfn.XLOOKUP($A$17,'FC1 Data Set'!$B:$B,'FC1 Data Set'!U:U)</f>
        <v>10459.950423392678</v>
      </c>
      <c r="U18" s="105">
        <f>_xlfn.XLOOKUP($A$17,'FC1 Data Set'!$B:$B,'FC1 Data Set'!V:V)</f>
        <v>12415.626405312536</v>
      </c>
      <c r="V18" s="105">
        <f>_xlfn.XLOOKUP($A$17,'FC1 Data Set'!$B:$B,'FC1 Data Set'!W:W)</f>
        <v>12021.141149145486</v>
      </c>
      <c r="W18" s="105">
        <f>_xlfn.XLOOKUP($A$17,'FC1 Data Set'!$B:$B,'FC1 Data Set'!X:X)</f>
        <v>12413.763077752263</v>
      </c>
      <c r="X18" s="105">
        <f>_xlfn.XLOOKUP($A$17,'FC1 Data Set'!$B:$B,'FC1 Data Set'!Y:Y)</f>
        <v>12822.596300086117</v>
      </c>
      <c r="Y18" s="105">
        <f>_xlfn.XLOOKUP($A$17,'FC1 Data Set'!$B:$B,'FC1 Data Set'!Z:Z)</f>
        <v>13275.147704868352</v>
      </c>
      <c r="Z18" s="105">
        <f>_xlfn.XLOOKUP($A$17,'FC1 Data Set'!$B:$B,'FC1 Data Set'!AA:AA)</f>
        <v>11291.12443474803</v>
      </c>
      <c r="AA18" s="105">
        <f>_xlfn.XLOOKUP($A$17,'FC1 Data Set'!$B:$B,'FC1 Data Set'!AB:AB)</f>
        <v>10589.557039204816</v>
      </c>
      <c r="AB18" s="105">
        <f>_xlfn.XLOOKUP($A$17,'FC1 Data Set'!$B:$B,'FC1 Data Set'!AC:AC)</f>
        <v>11731.237255467207</v>
      </c>
      <c r="AC18" s="105">
        <f>_xlfn.XLOOKUP($A$17,'FC1 Data Set'!$B:$B,'FC1 Data Set'!AD:AD)</f>
        <v>14005.410121438706</v>
      </c>
      <c r="AD18" s="105">
        <f>_xlfn.XLOOKUP($A$17,'FC1 Data Set'!$B:$B,'FC1 Data Set'!AE:AE)</f>
        <v>13519.746505772275</v>
      </c>
      <c r="AE18" s="105">
        <f>_xlfn.XLOOKUP($A$17,'FC1 Data Set'!$B:$B,'FC1 Data Set'!AF:AF)</f>
        <v>12613.55309153901</v>
      </c>
      <c r="AF18" s="105">
        <f>_xlfn.XLOOKUP($A$17,'FC1 Data Set'!$B:$B,'FC1 Data Set'!AG:AG)</f>
        <v>13414.413512573394</v>
      </c>
      <c r="AG18" s="105">
        <f>_xlfn.XLOOKUP($A$17,'FC1 Data Set'!$B:$B,'FC1 Data Set'!AH:AH)</f>
        <v>12304.597055613463</v>
      </c>
      <c r="AH18" s="105">
        <f>AVERAGE(H18:AG18)</f>
        <v>11917.605358903624</v>
      </c>
    </row>
    <row r="22" spans="1:43" x14ac:dyDescent="0.25">
      <c r="AK22" s="9" t="s">
        <v>55</v>
      </c>
      <c r="AL22" s="9" t="s">
        <v>56</v>
      </c>
      <c r="AM22" s="9" t="s">
        <v>57</v>
      </c>
      <c r="AO22" s="9" t="s">
        <v>55</v>
      </c>
      <c r="AP22" s="9" t="s">
        <v>59</v>
      </c>
      <c r="AQ22" s="9" t="s">
        <v>57</v>
      </c>
    </row>
    <row r="23" spans="1:43" x14ac:dyDescent="0.25">
      <c r="AK23" s="26" t="s">
        <v>52</v>
      </c>
      <c r="AL23" s="27">
        <f>AH17</f>
        <v>13371.941333333334</v>
      </c>
      <c r="AM23" s="28">
        <f>AL23/$AL$25</f>
        <v>0.63287369357118683</v>
      </c>
      <c r="AO23" s="15" t="s">
        <v>52</v>
      </c>
      <c r="AP23" s="16">
        <f>AH18</f>
        <v>11917.605358903624</v>
      </c>
      <c r="AQ23" s="28">
        <f>AP23/$AP$25</f>
        <v>0.57341324522757275</v>
      </c>
    </row>
    <row r="24" spans="1:43" x14ac:dyDescent="0.25">
      <c r="AK24" s="17" t="s">
        <v>54</v>
      </c>
      <c r="AL24" s="18">
        <f>AH37</f>
        <v>7756.9845000000014</v>
      </c>
      <c r="AM24" s="23">
        <f>AL24/$AL$25</f>
        <v>0.36712630642881322</v>
      </c>
      <c r="AO24" s="15" t="s">
        <v>54</v>
      </c>
      <c r="AP24" s="16">
        <f>AH38</f>
        <v>8866.0187692307682</v>
      </c>
      <c r="AQ24" s="23">
        <f>AP24/$AP$25</f>
        <v>0.4265867547724273</v>
      </c>
    </row>
    <row r="25" spans="1:43" x14ac:dyDescent="0.25">
      <c r="AK25" s="19" t="s">
        <v>58</v>
      </c>
      <c r="AL25" s="20">
        <f>SUM(AL23:AL24)</f>
        <v>21128.925833333335</v>
      </c>
      <c r="AM25" s="10"/>
      <c r="AO25" s="19" t="s">
        <v>58</v>
      </c>
      <c r="AP25" s="20">
        <f>SUM(AP23:AP24)</f>
        <v>20783.62412813439</v>
      </c>
      <c r="AQ25" s="10"/>
    </row>
    <row r="36" spans="1:34" x14ac:dyDescent="0.25">
      <c r="A36" s="14"/>
      <c r="B36" s="9" t="str">
        <f t="shared" ref="B36:AG36" si="0">B16</f>
        <v>202631</v>
      </c>
      <c r="C36" s="9" t="str">
        <f t="shared" si="0"/>
        <v>202632</v>
      </c>
      <c r="D36" s="9" t="str">
        <f t="shared" si="0"/>
        <v>202633</v>
      </c>
      <c r="E36" s="9" t="str">
        <f t="shared" si="0"/>
        <v>202634</v>
      </c>
      <c r="F36" s="9" t="str">
        <f t="shared" si="0"/>
        <v>202635</v>
      </c>
      <c r="G36" s="9" t="str">
        <f t="shared" si="0"/>
        <v>202636</v>
      </c>
      <c r="H36" s="9" t="str">
        <f t="shared" si="0"/>
        <v>202637</v>
      </c>
      <c r="I36" s="9" t="str">
        <f t="shared" si="0"/>
        <v>202638</v>
      </c>
      <c r="J36" s="9" t="str">
        <f t="shared" si="0"/>
        <v>202639</v>
      </c>
      <c r="K36" s="9" t="str">
        <f t="shared" si="0"/>
        <v>202640</v>
      </c>
      <c r="L36" s="9" t="str">
        <f t="shared" si="0"/>
        <v>202641</v>
      </c>
      <c r="M36" s="9" t="str">
        <f t="shared" si="0"/>
        <v>202642</v>
      </c>
      <c r="N36" s="9" t="str">
        <f t="shared" si="0"/>
        <v>202643</v>
      </c>
      <c r="O36" s="9" t="str">
        <f t="shared" si="0"/>
        <v>202644</v>
      </c>
      <c r="P36" s="9" t="str">
        <f t="shared" si="0"/>
        <v>202645</v>
      </c>
      <c r="Q36" s="9" t="str">
        <f t="shared" si="0"/>
        <v>202646</v>
      </c>
      <c r="R36" s="9" t="str">
        <f t="shared" si="0"/>
        <v>202647</v>
      </c>
      <c r="S36" s="9" t="str">
        <f t="shared" si="0"/>
        <v>202648</v>
      </c>
      <c r="T36" s="9" t="str">
        <f t="shared" si="0"/>
        <v>202649</v>
      </c>
      <c r="U36" s="9" t="str">
        <f t="shared" si="0"/>
        <v>202650</v>
      </c>
      <c r="V36" s="9" t="str">
        <f t="shared" si="0"/>
        <v>202651</v>
      </c>
      <c r="W36" s="9" t="str">
        <f t="shared" si="0"/>
        <v>202652</v>
      </c>
      <c r="X36" s="9" t="str">
        <f t="shared" si="0"/>
        <v>202653</v>
      </c>
      <c r="Y36" s="9" t="str">
        <f t="shared" si="0"/>
        <v>202701</v>
      </c>
      <c r="Z36" s="9" t="str">
        <f t="shared" si="0"/>
        <v>202702</v>
      </c>
      <c r="AA36" s="9" t="str">
        <f t="shared" si="0"/>
        <v>202703</v>
      </c>
      <c r="AB36" s="9" t="str">
        <f t="shared" si="0"/>
        <v>202704</v>
      </c>
      <c r="AC36" s="9" t="str">
        <f t="shared" si="0"/>
        <v>202705</v>
      </c>
      <c r="AD36" s="9" t="str">
        <f t="shared" si="0"/>
        <v>202706</v>
      </c>
      <c r="AE36" s="9" t="str">
        <f t="shared" si="0"/>
        <v>202707</v>
      </c>
      <c r="AF36" s="9" t="str">
        <f t="shared" si="0"/>
        <v>202708</v>
      </c>
      <c r="AG36" s="9" t="str">
        <f t="shared" si="0"/>
        <v>202709</v>
      </c>
      <c r="AH36" s="9" t="s">
        <v>53</v>
      </c>
    </row>
    <row r="37" spans="1:34" x14ac:dyDescent="0.25">
      <c r="A37" s="24" t="s">
        <v>3</v>
      </c>
      <c r="B37" s="18">
        <f>_xlfn.XLOOKUP($A$37,'Act Data Set'!$B:$B,'Act Data Set'!C:C)</f>
        <v>6489.9530000000004</v>
      </c>
      <c r="C37" s="18">
        <f>_xlfn.XLOOKUP($A$37,'Act Data Set'!$B:$B,'Act Data Set'!D:D)</f>
        <v>8016.13</v>
      </c>
      <c r="D37" s="18">
        <f>_xlfn.XLOOKUP($A$37,'Act Data Set'!$B:$B,'Act Data Set'!E:E)</f>
        <v>8413.51</v>
      </c>
      <c r="E37" s="18">
        <f>_xlfn.XLOOKUP($A$37,'Act Data Set'!$B:$B,'Act Data Set'!F:F)</f>
        <v>7785.01</v>
      </c>
      <c r="F37" s="18">
        <f>_xlfn.XLOOKUP($A$37,'Act Data Set'!$B:$B,'Act Data Set'!G:G)</f>
        <v>8503.8339999999989</v>
      </c>
      <c r="G37" s="18">
        <f>_xlfn.XLOOKUP($A$37,'Act Data Set'!$B:$B,'Act Data Set'!H:H)</f>
        <v>7333.4699999999993</v>
      </c>
      <c r="H37" s="21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18">
        <f>AVERAGE(B37:G37)</f>
        <v>7756.9845000000014</v>
      </c>
    </row>
    <row r="38" spans="1:34" x14ac:dyDescent="0.25">
      <c r="A38" s="25" t="str">
        <f>A37&amp;" Forecast"</f>
        <v>Total Transit IN Forecast</v>
      </c>
      <c r="B38" s="171"/>
      <c r="C38" s="172"/>
      <c r="D38" s="172"/>
      <c r="E38" s="172"/>
      <c r="F38" s="172"/>
      <c r="G38" s="173"/>
      <c r="H38" s="16">
        <f>_xlfn.XLOOKUP($A$37,'FC1 Data Set'!$B:$B,'FC1 Data Set'!I:I)</f>
        <v>11180.796999999999</v>
      </c>
      <c r="I38" s="16">
        <f>_xlfn.XLOOKUP($A$37,'FC1 Data Set'!$B:$B,'FC1 Data Set'!J:J)</f>
        <v>8371.8130000000001</v>
      </c>
      <c r="J38" s="16">
        <f>_xlfn.XLOOKUP($A$37,'FC1 Data Set'!$B:$B,'FC1 Data Set'!K:K)</f>
        <v>10117.606000000002</v>
      </c>
      <c r="K38" s="16">
        <f>_xlfn.XLOOKUP($A$37,'FC1 Data Set'!$B:$B,'FC1 Data Set'!L:L)</f>
        <v>8669.8359999999993</v>
      </c>
      <c r="L38" s="16">
        <f>_xlfn.XLOOKUP($A$37,'FC1 Data Set'!$B:$B,'FC1 Data Set'!M:M)</f>
        <v>8260.0560000000005</v>
      </c>
      <c r="M38" s="16">
        <f>_xlfn.XLOOKUP($A$37,'FC1 Data Set'!$B:$B,'FC1 Data Set'!N:N)</f>
        <v>9513.43</v>
      </c>
      <c r="N38" s="16">
        <f>_xlfn.XLOOKUP($A$37,'FC1 Data Set'!$B:$B,'FC1 Data Set'!O:O)</f>
        <v>10133.839999999998</v>
      </c>
      <c r="O38" s="16">
        <f>_xlfn.XLOOKUP($A$37,'FC1 Data Set'!$B:$B,'FC1 Data Set'!P:P)</f>
        <v>9543.5000000000018</v>
      </c>
      <c r="P38" s="16">
        <f>_xlfn.XLOOKUP($A$37,'FC1 Data Set'!$B:$B,'FC1 Data Set'!Q:Q)</f>
        <v>9795</v>
      </c>
      <c r="Q38" s="16">
        <f>_xlfn.XLOOKUP($A$37,'FC1 Data Set'!$B:$B,'FC1 Data Set'!R:R)</f>
        <v>9766.619999999999</v>
      </c>
      <c r="R38" s="16">
        <f>_xlfn.XLOOKUP($A$37,'FC1 Data Set'!$B:$B,'FC1 Data Set'!S:S)</f>
        <v>9361.33</v>
      </c>
      <c r="S38" s="16">
        <f>_xlfn.XLOOKUP($A$37,'FC1 Data Set'!$B:$B,'FC1 Data Set'!T:T)</f>
        <v>9499.2000000000007</v>
      </c>
      <c r="T38" s="16">
        <f>_xlfn.XLOOKUP($A$37,'FC1 Data Set'!$B:$B,'FC1 Data Set'!U:U)</f>
        <v>9012.2999999999975</v>
      </c>
      <c r="U38" s="16">
        <f>_xlfn.XLOOKUP($A$37,'FC1 Data Set'!$B:$B,'FC1 Data Set'!V:V)</f>
        <v>7789.93</v>
      </c>
      <c r="V38" s="16">
        <f>_xlfn.XLOOKUP($A$37,'FC1 Data Set'!$B:$B,'FC1 Data Set'!W:W)</f>
        <v>7887.95</v>
      </c>
      <c r="W38" s="16">
        <f>_xlfn.XLOOKUP($A$37,'FC1 Data Set'!$B:$B,'FC1 Data Set'!X:X)</f>
        <v>9269.7100000000009</v>
      </c>
      <c r="X38" s="16">
        <f>_xlfn.XLOOKUP($A$37,'FC1 Data Set'!$B:$B,'FC1 Data Set'!Y:Y)</f>
        <v>9218.4399999999987</v>
      </c>
      <c r="Y38" s="16">
        <f>_xlfn.XLOOKUP($A$37,'FC1 Data Set'!$B:$B,'FC1 Data Set'!Z:Z)</f>
        <v>9113.91</v>
      </c>
      <c r="Z38" s="16">
        <f>_xlfn.XLOOKUP($A$37,'FC1 Data Set'!$B:$B,'FC1 Data Set'!AA:AA)</f>
        <v>5638.4599999999991</v>
      </c>
      <c r="AA38" s="16">
        <f>_xlfn.XLOOKUP($A$37,'FC1 Data Set'!$B:$B,'FC1 Data Set'!AB:AB)</f>
        <v>6800.3499999999995</v>
      </c>
      <c r="AB38" s="16">
        <f>_xlfn.XLOOKUP($A$37,'FC1 Data Set'!$B:$B,'FC1 Data Set'!AC:AC)</f>
        <v>8111.1399999999985</v>
      </c>
      <c r="AC38" s="16">
        <f>_xlfn.XLOOKUP($A$37,'FC1 Data Set'!$B:$B,'FC1 Data Set'!AD:AD)</f>
        <v>8464.4600000000009</v>
      </c>
      <c r="AD38" s="16">
        <f>_xlfn.XLOOKUP($A$37,'FC1 Data Set'!$B:$B,'FC1 Data Set'!AE:AE)</f>
        <v>8640.17</v>
      </c>
      <c r="AE38" s="16">
        <f>_xlfn.XLOOKUP($A$37,'FC1 Data Set'!$B:$B,'FC1 Data Set'!AF:AF)</f>
        <v>8750.5199999999986</v>
      </c>
      <c r="AF38" s="16">
        <f>_xlfn.XLOOKUP($A$37,'FC1 Data Set'!$B:$B,'FC1 Data Set'!AG:AG)</f>
        <v>9396.1299999999992</v>
      </c>
      <c r="AG38" s="16">
        <f>_xlfn.XLOOKUP($A$37,'FC1 Data Set'!$B:$B,'FC1 Data Set'!AH:AH)</f>
        <v>8209.9900000000016</v>
      </c>
      <c r="AH38" s="16">
        <f>AVERAGE(H38:AG38)</f>
        <v>8866.0187692307682</v>
      </c>
    </row>
    <row r="55" spans="1:34" x14ac:dyDescent="0.2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</row>
    <row r="56" spans="1:34" x14ac:dyDescent="0.25">
      <c r="A56" s="14"/>
      <c r="B56" s="9" t="str">
        <f>B36</f>
        <v>202631</v>
      </c>
      <c r="C56" s="9" t="str">
        <f t="shared" ref="C56:AG56" si="1">C36</f>
        <v>202632</v>
      </c>
      <c r="D56" s="9" t="str">
        <f t="shared" si="1"/>
        <v>202633</v>
      </c>
      <c r="E56" s="9" t="str">
        <f t="shared" si="1"/>
        <v>202634</v>
      </c>
      <c r="F56" s="9" t="str">
        <f t="shared" si="1"/>
        <v>202635</v>
      </c>
      <c r="G56" s="9" t="str">
        <f t="shared" si="1"/>
        <v>202636</v>
      </c>
      <c r="H56" s="9" t="str">
        <f t="shared" si="1"/>
        <v>202637</v>
      </c>
      <c r="I56" s="9" t="str">
        <f t="shared" si="1"/>
        <v>202638</v>
      </c>
      <c r="J56" s="9" t="str">
        <f t="shared" si="1"/>
        <v>202639</v>
      </c>
      <c r="K56" s="9" t="str">
        <f t="shared" si="1"/>
        <v>202640</v>
      </c>
      <c r="L56" s="9" t="str">
        <f t="shared" si="1"/>
        <v>202641</v>
      </c>
      <c r="M56" s="9" t="str">
        <f t="shared" si="1"/>
        <v>202642</v>
      </c>
      <c r="N56" s="9" t="str">
        <f t="shared" si="1"/>
        <v>202643</v>
      </c>
      <c r="O56" s="9" t="str">
        <f t="shared" si="1"/>
        <v>202644</v>
      </c>
      <c r="P56" s="9" t="str">
        <f t="shared" si="1"/>
        <v>202645</v>
      </c>
      <c r="Q56" s="9" t="str">
        <f t="shared" si="1"/>
        <v>202646</v>
      </c>
      <c r="R56" s="9" t="str">
        <f t="shared" si="1"/>
        <v>202647</v>
      </c>
      <c r="S56" s="9" t="str">
        <f t="shared" si="1"/>
        <v>202648</v>
      </c>
      <c r="T56" s="9" t="str">
        <f t="shared" si="1"/>
        <v>202649</v>
      </c>
      <c r="U56" s="9" t="str">
        <f t="shared" si="1"/>
        <v>202650</v>
      </c>
      <c r="V56" s="9" t="str">
        <f t="shared" si="1"/>
        <v>202651</v>
      </c>
      <c r="W56" s="9" t="str">
        <f t="shared" si="1"/>
        <v>202652</v>
      </c>
      <c r="X56" s="9" t="str">
        <f t="shared" si="1"/>
        <v>202653</v>
      </c>
      <c r="Y56" s="9" t="str">
        <f t="shared" si="1"/>
        <v>202701</v>
      </c>
      <c r="Z56" s="9" t="str">
        <f t="shared" si="1"/>
        <v>202702</v>
      </c>
      <c r="AA56" s="9" t="str">
        <f t="shared" si="1"/>
        <v>202703</v>
      </c>
      <c r="AB56" s="9" t="str">
        <f t="shared" si="1"/>
        <v>202704</v>
      </c>
      <c r="AC56" s="9" t="str">
        <f t="shared" si="1"/>
        <v>202705</v>
      </c>
      <c r="AD56" s="9" t="str">
        <f t="shared" si="1"/>
        <v>202706</v>
      </c>
      <c r="AE56" s="9" t="str">
        <f t="shared" si="1"/>
        <v>202707</v>
      </c>
      <c r="AF56" s="9" t="str">
        <f t="shared" si="1"/>
        <v>202708</v>
      </c>
      <c r="AG56" s="9" t="str">
        <f t="shared" si="1"/>
        <v>202709</v>
      </c>
      <c r="AH56" s="9" t="s">
        <v>53</v>
      </c>
    </row>
    <row r="57" spans="1:34" x14ac:dyDescent="0.25">
      <c r="A57" s="26" t="str">
        <f>A17</f>
        <v>Total DC In to Stock (Queue Corrected)</v>
      </c>
      <c r="B57" s="27">
        <f>B17</f>
        <v>17464.036</v>
      </c>
      <c r="C57" s="27">
        <f t="shared" ref="C57:G57" si="2">C17</f>
        <v>9095.2099999999991</v>
      </c>
      <c r="D57" s="27">
        <f t="shared" si="2"/>
        <v>10503.363999999998</v>
      </c>
      <c r="E57" s="27">
        <f t="shared" si="2"/>
        <v>17607.023000000001</v>
      </c>
      <c r="F57" s="27">
        <f t="shared" si="2"/>
        <v>14166.209000000001</v>
      </c>
      <c r="G57" s="27">
        <f t="shared" si="2"/>
        <v>11395.806</v>
      </c>
      <c r="H57" s="21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7">
        <f>AVERAGE(B57:G57)</f>
        <v>13371.941333333334</v>
      </c>
    </row>
    <row r="58" spans="1:34" x14ac:dyDescent="0.25">
      <c r="A58" s="24" t="str">
        <f>A37</f>
        <v>Total Transit IN</v>
      </c>
      <c r="B58" s="18">
        <f>B37</f>
        <v>6489.9530000000004</v>
      </c>
      <c r="C58" s="18">
        <f t="shared" ref="C58:G58" si="3">C37</f>
        <v>8016.13</v>
      </c>
      <c r="D58" s="18">
        <f t="shared" si="3"/>
        <v>8413.51</v>
      </c>
      <c r="E58" s="18">
        <f t="shared" si="3"/>
        <v>7785.01</v>
      </c>
      <c r="F58" s="18">
        <f t="shared" si="3"/>
        <v>8503.8339999999989</v>
      </c>
      <c r="G58" s="18">
        <f t="shared" si="3"/>
        <v>7333.4699999999993</v>
      </c>
      <c r="H58" s="2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18">
        <f>AVERAGE(B58:G58)</f>
        <v>7756.9845000000014</v>
      </c>
    </row>
    <row r="59" spans="1:34" x14ac:dyDescent="0.25">
      <c r="A59" s="59" t="str">
        <f>A18</f>
        <v>Total DC In to Stock (Queue Corrected) Forecast</v>
      </c>
      <c r="B59" s="171"/>
      <c r="C59" s="172"/>
      <c r="D59" s="172"/>
      <c r="E59" s="172"/>
      <c r="F59" s="172"/>
      <c r="G59" s="173"/>
      <c r="H59" s="105">
        <f>H18</f>
        <v>10691.360499999997</v>
      </c>
      <c r="I59" s="105">
        <f t="shared" ref="I59:S59" si="4">I18</f>
        <v>12591.411881412061</v>
      </c>
      <c r="J59" s="105">
        <f t="shared" si="4"/>
        <v>9816.422723261705</v>
      </c>
      <c r="K59" s="105">
        <f t="shared" si="4"/>
        <v>11558.830982508942</v>
      </c>
      <c r="L59" s="105">
        <f t="shared" si="4"/>
        <v>12722.086804289949</v>
      </c>
      <c r="M59" s="105">
        <f t="shared" si="4"/>
        <v>12452.173212222573</v>
      </c>
      <c r="N59" s="105">
        <f t="shared" si="4"/>
        <v>10719.757460599054</v>
      </c>
      <c r="O59" s="105">
        <f t="shared" si="4"/>
        <v>13246.090074756803</v>
      </c>
      <c r="P59" s="105">
        <f t="shared" si="4"/>
        <v>11270.433384224656</v>
      </c>
      <c r="Q59" s="105">
        <f t="shared" si="4"/>
        <v>13347.992601662299</v>
      </c>
      <c r="R59" s="105">
        <f t="shared" si="4"/>
        <v>9557.7071572705609</v>
      </c>
      <c r="S59" s="105">
        <f t="shared" si="4"/>
        <v>9005.6084723712429</v>
      </c>
      <c r="T59" s="105">
        <f t="shared" ref="T59:X59" si="5">T18</f>
        <v>10459.950423392678</v>
      </c>
      <c r="U59" s="105">
        <f t="shared" si="5"/>
        <v>12415.626405312536</v>
      </c>
      <c r="V59" s="105">
        <f t="shared" si="5"/>
        <v>12021.141149145486</v>
      </c>
      <c r="W59" s="105">
        <f t="shared" si="5"/>
        <v>12413.763077752263</v>
      </c>
      <c r="X59" s="105">
        <f t="shared" si="5"/>
        <v>12822.596300086117</v>
      </c>
      <c r="Y59" s="105">
        <f t="shared" ref="Y59:AG59" si="6">Y18</f>
        <v>13275.147704868352</v>
      </c>
      <c r="Z59" s="105">
        <f t="shared" si="6"/>
        <v>11291.12443474803</v>
      </c>
      <c r="AA59" s="105">
        <f t="shared" si="6"/>
        <v>10589.557039204816</v>
      </c>
      <c r="AB59" s="105">
        <f t="shared" si="6"/>
        <v>11731.237255467207</v>
      </c>
      <c r="AC59" s="105">
        <f t="shared" si="6"/>
        <v>14005.410121438706</v>
      </c>
      <c r="AD59" s="105">
        <f t="shared" si="6"/>
        <v>13519.746505772275</v>
      </c>
      <c r="AE59" s="105">
        <f t="shared" si="6"/>
        <v>12613.55309153901</v>
      </c>
      <c r="AF59" s="105">
        <f t="shared" si="6"/>
        <v>13414.413512573394</v>
      </c>
      <c r="AG59" s="105">
        <f t="shared" si="6"/>
        <v>12304.597055613463</v>
      </c>
      <c r="AH59" s="105">
        <f>AVERAGE(H59:AG59)</f>
        <v>11917.605358903624</v>
      </c>
    </row>
    <row r="60" spans="1:34" x14ac:dyDescent="0.25">
      <c r="A60" s="25" t="str">
        <f>A38</f>
        <v>Total Transit IN Forecast</v>
      </c>
      <c r="B60" s="171"/>
      <c r="C60" s="172"/>
      <c r="D60" s="172"/>
      <c r="E60" s="172"/>
      <c r="F60" s="172"/>
      <c r="G60" s="173"/>
      <c r="H60" s="16">
        <f>H38</f>
        <v>11180.796999999999</v>
      </c>
      <c r="I60" s="16">
        <f t="shared" ref="I60:S60" si="7">I38</f>
        <v>8371.8130000000001</v>
      </c>
      <c r="J60" s="16">
        <f t="shared" si="7"/>
        <v>10117.606000000002</v>
      </c>
      <c r="K60" s="16">
        <f t="shared" si="7"/>
        <v>8669.8359999999993</v>
      </c>
      <c r="L60" s="16">
        <f t="shared" si="7"/>
        <v>8260.0560000000005</v>
      </c>
      <c r="M60" s="16">
        <f t="shared" si="7"/>
        <v>9513.43</v>
      </c>
      <c r="N60" s="16">
        <f t="shared" si="7"/>
        <v>10133.839999999998</v>
      </c>
      <c r="O60" s="16">
        <f t="shared" si="7"/>
        <v>9543.5000000000018</v>
      </c>
      <c r="P60" s="16">
        <f t="shared" si="7"/>
        <v>9795</v>
      </c>
      <c r="Q60" s="16">
        <f t="shared" si="7"/>
        <v>9766.619999999999</v>
      </c>
      <c r="R60" s="16">
        <f t="shared" si="7"/>
        <v>9361.33</v>
      </c>
      <c r="S60" s="16">
        <f t="shared" si="7"/>
        <v>9499.2000000000007</v>
      </c>
      <c r="T60" s="16">
        <f t="shared" ref="T60:X60" si="8">T38</f>
        <v>9012.2999999999975</v>
      </c>
      <c r="U60" s="16">
        <f t="shared" si="8"/>
        <v>7789.93</v>
      </c>
      <c r="V60" s="16">
        <f t="shared" si="8"/>
        <v>7887.95</v>
      </c>
      <c r="W60" s="16">
        <f t="shared" si="8"/>
        <v>9269.7100000000009</v>
      </c>
      <c r="X60" s="16">
        <f t="shared" si="8"/>
        <v>9218.4399999999987</v>
      </c>
      <c r="Y60" s="16">
        <f t="shared" ref="Y60:AG60" si="9">Y38</f>
        <v>9113.91</v>
      </c>
      <c r="Z60" s="16">
        <f t="shared" si="9"/>
        <v>5638.4599999999991</v>
      </c>
      <c r="AA60" s="16">
        <f t="shared" si="9"/>
        <v>6800.3499999999995</v>
      </c>
      <c r="AB60" s="16">
        <f t="shared" si="9"/>
        <v>8111.1399999999985</v>
      </c>
      <c r="AC60" s="16">
        <f t="shared" si="9"/>
        <v>8464.4600000000009</v>
      </c>
      <c r="AD60" s="16">
        <f t="shared" si="9"/>
        <v>8640.17</v>
      </c>
      <c r="AE60" s="16">
        <f t="shared" si="9"/>
        <v>8750.5199999999986</v>
      </c>
      <c r="AF60" s="16">
        <f t="shared" si="9"/>
        <v>9396.1299999999992</v>
      </c>
      <c r="AG60" s="16">
        <f t="shared" si="9"/>
        <v>8209.9900000000016</v>
      </c>
      <c r="AH60" s="16">
        <f>AVERAGE(H60:AG60)</f>
        <v>8866.0187692307682</v>
      </c>
    </row>
    <row r="61" spans="1:34" x14ac:dyDescent="0.25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</row>
    <row r="78" spans="1:34" x14ac:dyDescent="0.25">
      <c r="A78" s="14"/>
      <c r="B78" s="9" t="str">
        <f>B56</f>
        <v>202631</v>
      </c>
      <c r="C78" s="9" t="str">
        <f t="shared" ref="C78:AG78" si="10">C56</f>
        <v>202632</v>
      </c>
      <c r="D78" s="9" t="str">
        <f t="shared" si="10"/>
        <v>202633</v>
      </c>
      <c r="E78" s="9" t="str">
        <f t="shared" si="10"/>
        <v>202634</v>
      </c>
      <c r="F78" s="9" t="str">
        <f t="shared" si="10"/>
        <v>202635</v>
      </c>
      <c r="G78" s="9" t="str">
        <f t="shared" si="10"/>
        <v>202636</v>
      </c>
      <c r="H78" s="9" t="str">
        <f t="shared" si="10"/>
        <v>202637</v>
      </c>
      <c r="I78" s="9" t="str">
        <f t="shared" si="10"/>
        <v>202638</v>
      </c>
      <c r="J78" s="9" t="str">
        <f t="shared" si="10"/>
        <v>202639</v>
      </c>
      <c r="K78" s="9" t="str">
        <f t="shared" si="10"/>
        <v>202640</v>
      </c>
      <c r="L78" s="9" t="str">
        <f t="shared" si="10"/>
        <v>202641</v>
      </c>
      <c r="M78" s="9" t="str">
        <f t="shared" si="10"/>
        <v>202642</v>
      </c>
      <c r="N78" s="9" t="str">
        <f t="shared" si="10"/>
        <v>202643</v>
      </c>
      <c r="O78" s="9" t="str">
        <f t="shared" si="10"/>
        <v>202644</v>
      </c>
      <c r="P78" s="9" t="str">
        <f t="shared" si="10"/>
        <v>202645</v>
      </c>
      <c r="Q78" s="9" t="str">
        <f t="shared" si="10"/>
        <v>202646</v>
      </c>
      <c r="R78" s="9" t="str">
        <f t="shared" si="10"/>
        <v>202647</v>
      </c>
      <c r="S78" s="9" t="str">
        <f t="shared" si="10"/>
        <v>202648</v>
      </c>
      <c r="T78" s="9" t="str">
        <f t="shared" si="10"/>
        <v>202649</v>
      </c>
      <c r="U78" s="9" t="str">
        <f t="shared" si="10"/>
        <v>202650</v>
      </c>
      <c r="V78" s="9" t="str">
        <f t="shared" si="10"/>
        <v>202651</v>
      </c>
      <c r="W78" s="9" t="str">
        <f t="shared" si="10"/>
        <v>202652</v>
      </c>
      <c r="X78" s="9" t="str">
        <f t="shared" si="10"/>
        <v>202653</v>
      </c>
      <c r="Y78" s="9" t="str">
        <f t="shared" si="10"/>
        <v>202701</v>
      </c>
      <c r="Z78" s="9" t="str">
        <f t="shared" si="10"/>
        <v>202702</v>
      </c>
      <c r="AA78" s="9" t="str">
        <f t="shared" si="10"/>
        <v>202703</v>
      </c>
      <c r="AB78" s="9" t="str">
        <f t="shared" si="10"/>
        <v>202704</v>
      </c>
      <c r="AC78" s="9" t="str">
        <f t="shared" si="10"/>
        <v>202705</v>
      </c>
      <c r="AD78" s="9" t="str">
        <f t="shared" si="10"/>
        <v>202706</v>
      </c>
      <c r="AE78" s="9" t="str">
        <f t="shared" si="10"/>
        <v>202707</v>
      </c>
      <c r="AF78" s="9" t="str">
        <f t="shared" si="10"/>
        <v>202708</v>
      </c>
      <c r="AG78" s="9" t="str">
        <f t="shared" si="10"/>
        <v>202709</v>
      </c>
      <c r="AH78" s="9" t="s">
        <v>53</v>
      </c>
    </row>
    <row r="79" spans="1:34" x14ac:dyDescent="0.25">
      <c r="A79" s="108" t="s">
        <v>63</v>
      </c>
      <c r="B79" s="109">
        <f>_xlfn.XLOOKUP($A$79,'Act Data Set'!$B:$B,'Act Data Set'!C:C)</f>
        <v>4918.0049999999992</v>
      </c>
      <c r="C79" s="109">
        <f>_xlfn.XLOOKUP($A$79,'Act Data Set'!$B:$B,'Act Data Set'!D:D)</f>
        <v>4182.2859999999991</v>
      </c>
      <c r="D79" s="109">
        <f>_xlfn.XLOOKUP($A$79,'Act Data Set'!$B:$B,'Act Data Set'!E:E)</f>
        <v>4576.3840000000009</v>
      </c>
      <c r="E79" s="109">
        <f>_xlfn.XLOOKUP($A$79,'Act Data Set'!$B:$B,'Act Data Set'!F:F)</f>
        <v>4214.8849999999993</v>
      </c>
      <c r="F79" s="109">
        <f>_xlfn.XLOOKUP($A$79,'Act Data Set'!$B:$B,'Act Data Set'!G:G)</f>
        <v>4870.5720000000001</v>
      </c>
      <c r="G79" s="109">
        <f>_xlfn.XLOOKUP($A$79,'Act Data Set'!$B:$B,'Act Data Set'!H:H)</f>
        <v>4541.3829999999998</v>
      </c>
      <c r="H79" s="21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109">
        <f>AVERAGE(B79:G79)</f>
        <v>4550.5858333333335</v>
      </c>
    </row>
    <row r="80" spans="1:34" x14ac:dyDescent="0.25">
      <c r="A80" s="121" t="s">
        <v>64</v>
      </c>
      <c r="B80" s="46">
        <f>_xlfn.XLOOKUP($A$80,'Act Data Set'!$B:$B,'Act Data Set'!C:C)</f>
        <v>6489.9530000000004</v>
      </c>
      <c r="C80" s="46">
        <f>_xlfn.XLOOKUP($A$80,'Act Data Set'!$B:$B,'Act Data Set'!D:D)</f>
        <v>8016.13</v>
      </c>
      <c r="D80" s="46">
        <f>_xlfn.XLOOKUP($A$80,'Act Data Set'!$B:$B,'Act Data Set'!E:E)</f>
        <v>8413.51</v>
      </c>
      <c r="E80" s="46">
        <f>_xlfn.XLOOKUP($A$80,'Act Data Set'!$B:$B,'Act Data Set'!F:F)</f>
        <v>7785.01</v>
      </c>
      <c r="F80" s="46">
        <f>_xlfn.XLOOKUP($A$80,'Act Data Set'!$B:$B,'Act Data Set'!G:G)</f>
        <v>8503.8339999999989</v>
      </c>
      <c r="G80" s="46">
        <f>_xlfn.XLOOKUP($A$80,'Act Data Set'!$B:$B,'Act Data Set'!H:H)</f>
        <v>7333.4699999999993</v>
      </c>
      <c r="H80" s="21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46">
        <f>AVERAGE(B80:G80)</f>
        <v>7756.9845000000014</v>
      </c>
    </row>
    <row r="81" spans="1:34" x14ac:dyDescent="0.25">
      <c r="A81" s="110" t="str">
        <f>A79&amp;" Forecast"</f>
        <v>Land Volume (DC Stock) Forecast</v>
      </c>
      <c r="B81" s="171"/>
      <c r="C81" s="172"/>
      <c r="D81" s="172"/>
      <c r="E81" s="172"/>
      <c r="F81" s="172"/>
      <c r="G81" s="173"/>
      <c r="H81" s="111">
        <f>_xlfn.XLOOKUP($A$79,'FC1 Data Set'!$B:$B,'FC1 Data Set'!I:I)</f>
        <v>3837.12928345</v>
      </c>
      <c r="I81" s="111">
        <f>_xlfn.XLOOKUP($A$79,'FC1 Data Set'!$B:$B,'FC1 Data Set'!J:J)</f>
        <v>4519.0577242387881</v>
      </c>
      <c r="J81" s="111">
        <f>_xlfn.XLOOKUP($A$79,'FC1 Data Set'!$B:$B,'FC1 Data Set'!K:K)</f>
        <v>3523.1141153786266</v>
      </c>
      <c r="K81" s="111">
        <f>_xlfn.XLOOKUP($A$79,'FC1 Data Set'!$B:$B,'FC1 Data Set'!L:L)</f>
        <v>4148.4644396224594</v>
      </c>
      <c r="L81" s="111">
        <f>_xlfn.XLOOKUP($A$79,'FC1 Data Set'!$B:$B,'FC1 Data Set'!M:M)</f>
        <v>4565.9569540596622</v>
      </c>
      <c r="M81" s="111">
        <f>_xlfn.XLOOKUP($A$79,'FC1 Data Set'!$B:$B,'FC1 Data Set'!N:N)</f>
        <v>4469.0849658666821</v>
      </c>
      <c r="N81" s="111">
        <f>_xlfn.XLOOKUP($A$79,'FC1 Data Set'!$B:$B,'FC1 Data Set'!O:O)</f>
        <v>3847.3209526090004</v>
      </c>
      <c r="O81" s="111">
        <f>_xlfn.XLOOKUP($A$79,'FC1 Data Set'!$B:$B,'FC1 Data Set'!P:P)</f>
        <v>4754.0217278302171</v>
      </c>
      <c r="P81" s="111">
        <f>_xlfn.XLOOKUP($A$79,'FC1 Data Set'!$B:$B,'FC1 Data Set'!Q:Q)</f>
        <v>4044.9585415982283</v>
      </c>
      <c r="Q81" s="111">
        <f>_xlfn.XLOOKUP($A$79,'FC1 Data Set'!$B:$B,'FC1 Data Set'!R:R)</f>
        <v>4790.5945447365984</v>
      </c>
      <c r="R81" s="111">
        <f>_xlfn.XLOOKUP($A$79,'FC1 Data Set'!$B:$B,'FC1 Data Set'!S:S)</f>
        <v>3430.2610987444036</v>
      </c>
      <c r="S81" s="111">
        <f>_xlfn.XLOOKUP($A$79,'FC1 Data Set'!$B:$B,'FC1 Data Set'!T:T)</f>
        <v>3232.1128807340392</v>
      </c>
      <c r="T81" s="111">
        <f>_xlfn.XLOOKUP($A$79,'FC1 Data Set'!$B:$B,'FC1 Data Set'!U:U)</f>
        <v>3754.0762069556322</v>
      </c>
      <c r="U81" s="111">
        <f>_xlfn.XLOOKUP($A$79,'FC1 Data Set'!$B:$B,'FC1 Data Set'!V:V)</f>
        <v>4455.9683168666688</v>
      </c>
      <c r="V81" s="111">
        <f>_xlfn.XLOOKUP($A$79,'FC1 Data Set'!$B:$B,'FC1 Data Set'!W:W)</f>
        <v>4314.3875584283142</v>
      </c>
      <c r="W81" s="111">
        <f>_xlfn.XLOOKUP($A$79,'FC1 Data Set'!$B:$B,'FC1 Data Set'!X:X)</f>
        <v>4455.2995686052873</v>
      </c>
      <c r="X81" s="111">
        <f>_xlfn.XLOOKUP($A$79,'FC1 Data Set'!$B:$B,'FC1 Data Set'!Y:Y)</f>
        <v>4602.0298121009073</v>
      </c>
      <c r="Y81" s="111">
        <f>_xlfn.XLOOKUP($A$79,'FC1 Data Set'!$B:$B,'FC1 Data Set'!Z:Z)</f>
        <v>4764.4505112772522</v>
      </c>
      <c r="Z81" s="111">
        <f>_xlfn.XLOOKUP($A$79,'FC1 Data Set'!$B:$B,'FC1 Data Set'!AA:AA)</f>
        <v>4052.384559631068</v>
      </c>
      <c r="AA81" s="111">
        <f>_xlfn.XLOOKUP($A$79,'FC1 Data Set'!$B:$B,'FC1 Data Set'!AB:AB)</f>
        <v>3800.5920213706081</v>
      </c>
      <c r="AB81" s="111">
        <f>_xlfn.XLOOKUP($A$79,'FC1 Data Set'!$B:$B,'FC1 Data Set'!AC:AC)</f>
        <v>4210.341050987181</v>
      </c>
      <c r="AC81" s="111">
        <f>_xlfn.XLOOKUP($A$79,'FC1 Data Set'!$B:$B,'FC1 Data Set'!AD:AD)</f>
        <v>5026.5416925843519</v>
      </c>
      <c r="AD81" s="111">
        <f>_xlfn.XLOOKUP($A$79,'FC1 Data Set'!$B:$B,'FC1 Data Set'!AE:AE)</f>
        <v>4852.2370209216697</v>
      </c>
      <c r="AE81" s="111">
        <f>_xlfn.XLOOKUP($A$79,'FC1 Data Set'!$B:$B,'FC1 Data Set'!AF:AF)</f>
        <v>4527.0042045533501</v>
      </c>
      <c r="AF81" s="111">
        <f>_xlfn.XLOOKUP($A$79,'FC1 Data Set'!$B:$B,'FC1 Data Set'!AG:AG)</f>
        <v>4814.4330096625908</v>
      </c>
      <c r="AG81" s="111">
        <f>_xlfn.XLOOKUP($A$79,'FC1 Data Set'!$B:$B,'FC1 Data Set'!AH:AH)</f>
        <v>4416.119883259672</v>
      </c>
      <c r="AH81" s="111">
        <f>AVERAGE(H81:AG81)</f>
        <v>4277.2285633105093</v>
      </c>
    </row>
    <row r="82" spans="1:34" x14ac:dyDescent="0.25">
      <c r="A82" s="52" t="str">
        <f>A80&amp;" Forecast"</f>
        <v>Land Volume (Transit) Forecast</v>
      </c>
      <c r="B82" s="171"/>
      <c r="C82" s="172"/>
      <c r="D82" s="172"/>
      <c r="E82" s="172"/>
      <c r="F82" s="172"/>
      <c r="G82" s="173"/>
      <c r="H82" s="113">
        <f>_xlfn.XLOOKUP($A$80,'FC1 Data Set'!$B:$B,'FC1 Data Set'!I:I)</f>
        <v>11180.796999999999</v>
      </c>
      <c r="I82" s="113">
        <f>_xlfn.XLOOKUP($A$80,'FC1 Data Set'!$B:$B,'FC1 Data Set'!J:J)</f>
        <v>8371.8130000000001</v>
      </c>
      <c r="J82" s="113">
        <f>_xlfn.XLOOKUP($A$80,'FC1 Data Set'!$B:$B,'FC1 Data Set'!K:K)</f>
        <v>10117.606000000002</v>
      </c>
      <c r="K82" s="113">
        <f>_xlfn.XLOOKUP($A$80,'FC1 Data Set'!$B:$B,'FC1 Data Set'!L:L)</f>
        <v>8669.8359999999993</v>
      </c>
      <c r="L82" s="113">
        <f>_xlfn.XLOOKUP($A$80,'FC1 Data Set'!$B:$B,'FC1 Data Set'!M:M)</f>
        <v>8260.0560000000005</v>
      </c>
      <c r="M82" s="113">
        <f>_xlfn.XLOOKUP($A$80,'FC1 Data Set'!$B:$B,'FC1 Data Set'!N:N)</f>
        <v>9513.43</v>
      </c>
      <c r="N82" s="113">
        <f>_xlfn.XLOOKUP($A$80,'FC1 Data Set'!$B:$B,'FC1 Data Set'!O:O)</f>
        <v>10133.839999999998</v>
      </c>
      <c r="O82" s="113">
        <f>_xlfn.XLOOKUP($A$80,'FC1 Data Set'!$B:$B,'FC1 Data Set'!P:P)</f>
        <v>9543.5000000000018</v>
      </c>
      <c r="P82" s="113">
        <f>_xlfn.XLOOKUP($A$80,'FC1 Data Set'!$B:$B,'FC1 Data Set'!Q:Q)</f>
        <v>9795</v>
      </c>
      <c r="Q82" s="113">
        <f>_xlfn.XLOOKUP($A$80,'FC1 Data Set'!$B:$B,'FC1 Data Set'!R:R)</f>
        <v>9766.619999999999</v>
      </c>
      <c r="R82" s="113">
        <f>_xlfn.XLOOKUP($A$80,'FC1 Data Set'!$B:$B,'FC1 Data Set'!S:S)</f>
        <v>9361.33</v>
      </c>
      <c r="S82" s="113">
        <f>_xlfn.XLOOKUP($A$80,'FC1 Data Set'!$B:$B,'FC1 Data Set'!T:T)</f>
        <v>9499.2000000000007</v>
      </c>
      <c r="T82" s="113">
        <f>_xlfn.XLOOKUP($A$80,'FC1 Data Set'!$B:$B,'FC1 Data Set'!U:U)</f>
        <v>9012.2999999999975</v>
      </c>
      <c r="U82" s="113">
        <f>_xlfn.XLOOKUP($A$80,'FC1 Data Set'!$B:$B,'FC1 Data Set'!V:V)</f>
        <v>7789.93</v>
      </c>
      <c r="V82" s="113">
        <f>_xlfn.XLOOKUP($A$80,'FC1 Data Set'!$B:$B,'FC1 Data Set'!W:W)</f>
        <v>7887.95</v>
      </c>
      <c r="W82" s="113">
        <f>_xlfn.XLOOKUP($A$80,'FC1 Data Set'!$B:$B,'FC1 Data Set'!X:X)</f>
        <v>9269.7100000000009</v>
      </c>
      <c r="X82" s="113">
        <f>_xlfn.XLOOKUP($A$80,'FC1 Data Set'!$B:$B,'FC1 Data Set'!Y:Y)</f>
        <v>9218.4399999999987</v>
      </c>
      <c r="Y82" s="113">
        <f>_xlfn.XLOOKUP($A$80,'FC1 Data Set'!$B:$B,'FC1 Data Set'!Z:Z)</f>
        <v>9113.91</v>
      </c>
      <c r="Z82" s="113">
        <f>_xlfn.XLOOKUP($A$80,'FC1 Data Set'!$B:$B,'FC1 Data Set'!AA:AA)</f>
        <v>5638.4599999999991</v>
      </c>
      <c r="AA82" s="113">
        <f>_xlfn.XLOOKUP($A$80,'FC1 Data Set'!$B:$B,'FC1 Data Set'!AB:AB)</f>
        <v>6800.3499999999995</v>
      </c>
      <c r="AB82" s="113">
        <f>_xlfn.XLOOKUP($A$80,'FC1 Data Set'!$B:$B,'FC1 Data Set'!AC:AC)</f>
        <v>8111.1399999999985</v>
      </c>
      <c r="AC82" s="113">
        <f>_xlfn.XLOOKUP($A$80,'FC1 Data Set'!$B:$B,'FC1 Data Set'!AD:AD)</f>
        <v>8464.4600000000009</v>
      </c>
      <c r="AD82" s="113">
        <f>_xlfn.XLOOKUP($A$80,'FC1 Data Set'!$B:$B,'FC1 Data Set'!AE:AE)</f>
        <v>8640.17</v>
      </c>
      <c r="AE82" s="113">
        <f>_xlfn.XLOOKUP($A$80,'FC1 Data Set'!$B:$B,'FC1 Data Set'!AF:AF)</f>
        <v>8750.5199999999986</v>
      </c>
      <c r="AF82" s="113">
        <f>_xlfn.XLOOKUP($A$80,'FC1 Data Set'!$B:$B,'FC1 Data Set'!AG:AG)</f>
        <v>9396.1299999999992</v>
      </c>
      <c r="AG82" s="113">
        <f>_xlfn.XLOOKUP($A$80,'FC1 Data Set'!$B:$B,'FC1 Data Set'!AH:AH)</f>
        <v>8209.9900000000016</v>
      </c>
      <c r="AH82" s="113">
        <f>AVERAGE(H82:AG82)</f>
        <v>8866.0187692307682</v>
      </c>
    </row>
    <row r="100" spans="1:34" x14ac:dyDescent="0.25">
      <c r="A100" s="14"/>
      <c r="B100" s="9" t="str">
        <f>B78</f>
        <v>202631</v>
      </c>
      <c r="C100" s="9" t="str">
        <f t="shared" ref="C100:AG100" si="11">C78</f>
        <v>202632</v>
      </c>
      <c r="D100" s="9" t="str">
        <f t="shared" si="11"/>
        <v>202633</v>
      </c>
      <c r="E100" s="9" t="str">
        <f t="shared" si="11"/>
        <v>202634</v>
      </c>
      <c r="F100" s="9" t="str">
        <f t="shared" si="11"/>
        <v>202635</v>
      </c>
      <c r="G100" s="9" t="str">
        <f t="shared" si="11"/>
        <v>202636</v>
      </c>
      <c r="H100" s="9" t="str">
        <f t="shared" si="11"/>
        <v>202637</v>
      </c>
      <c r="I100" s="9" t="str">
        <f t="shared" si="11"/>
        <v>202638</v>
      </c>
      <c r="J100" s="9" t="str">
        <f t="shared" si="11"/>
        <v>202639</v>
      </c>
      <c r="K100" s="9" t="str">
        <f t="shared" si="11"/>
        <v>202640</v>
      </c>
      <c r="L100" s="9" t="str">
        <f t="shared" si="11"/>
        <v>202641</v>
      </c>
      <c r="M100" s="9" t="str">
        <f t="shared" si="11"/>
        <v>202642</v>
      </c>
      <c r="N100" s="9" t="str">
        <f t="shared" si="11"/>
        <v>202643</v>
      </c>
      <c r="O100" s="9" t="str">
        <f t="shared" si="11"/>
        <v>202644</v>
      </c>
      <c r="P100" s="9" t="str">
        <f t="shared" si="11"/>
        <v>202645</v>
      </c>
      <c r="Q100" s="9" t="str">
        <f t="shared" si="11"/>
        <v>202646</v>
      </c>
      <c r="R100" s="9" t="str">
        <f t="shared" si="11"/>
        <v>202647</v>
      </c>
      <c r="S100" s="9" t="str">
        <f t="shared" si="11"/>
        <v>202648</v>
      </c>
      <c r="T100" s="9" t="str">
        <f t="shared" si="11"/>
        <v>202649</v>
      </c>
      <c r="U100" s="9" t="str">
        <f t="shared" si="11"/>
        <v>202650</v>
      </c>
      <c r="V100" s="9" t="str">
        <f t="shared" si="11"/>
        <v>202651</v>
      </c>
      <c r="W100" s="9" t="str">
        <f t="shared" si="11"/>
        <v>202652</v>
      </c>
      <c r="X100" s="9" t="str">
        <f t="shared" si="11"/>
        <v>202653</v>
      </c>
      <c r="Y100" s="9" t="str">
        <f t="shared" si="11"/>
        <v>202701</v>
      </c>
      <c r="Z100" s="9" t="str">
        <f t="shared" si="11"/>
        <v>202702</v>
      </c>
      <c r="AA100" s="9" t="str">
        <f t="shared" si="11"/>
        <v>202703</v>
      </c>
      <c r="AB100" s="9" t="str">
        <f t="shared" si="11"/>
        <v>202704</v>
      </c>
      <c r="AC100" s="9" t="str">
        <f t="shared" si="11"/>
        <v>202705</v>
      </c>
      <c r="AD100" s="9" t="str">
        <f t="shared" si="11"/>
        <v>202706</v>
      </c>
      <c r="AE100" s="9" t="str">
        <f t="shared" si="11"/>
        <v>202707</v>
      </c>
      <c r="AF100" s="9" t="str">
        <f t="shared" si="11"/>
        <v>202708</v>
      </c>
      <c r="AG100" s="9" t="str">
        <f t="shared" si="11"/>
        <v>202709</v>
      </c>
      <c r="AH100" s="9" t="s">
        <v>53</v>
      </c>
    </row>
    <row r="101" spans="1:34" x14ac:dyDescent="0.25">
      <c r="A101" s="56" t="s">
        <v>65</v>
      </c>
      <c r="B101" s="115">
        <f>_xlfn.XLOOKUP($A$101,'Act Data Set'!$B:$B,'Act Data Set'!C:C)</f>
        <v>12737.453</v>
      </c>
      <c r="C101" s="115">
        <f>_xlfn.XLOOKUP($A$101,'Act Data Set'!$B:$B,'Act Data Set'!D:D)</f>
        <v>4964.7849999999999</v>
      </c>
      <c r="D101" s="115">
        <f>_xlfn.XLOOKUP($A$101,'Act Data Set'!$B:$B,'Act Data Set'!E:E)</f>
        <v>5926.98</v>
      </c>
      <c r="E101" s="115">
        <f>_xlfn.XLOOKUP($A$101,'Act Data Set'!$B:$B,'Act Data Set'!F:F)</f>
        <v>13392.137999999999</v>
      </c>
      <c r="F101" s="115">
        <f>_xlfn.XLOOKUP($A$101,'Act Data Set'!$B:$B,'Act Data Set'!G:G)</f>
        <v>9295.6370000000006</v>
      </c>
      <c r="G101" s="115">
        <f>_xlfn.XLOOKUP($A$101,'Act Data Set'!$B:$B,'Act Data Set'!H:H)</f>
        <v>6854.9419999999991</v>
      </c>
      <c r="H101" s="21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115">
        <f>AVERAGE(B101:G101)</f>
        <v>8861.9891666666663</v>
      </c>
    </row>
    <row r="102" spans="1:34" x14ac:dyDescent="0.25">
      <c r="A102" s="116" t="s">
        <v>66</v>
      </c>
      <c r="B102" s="117">
        <f>_xlfn.XLOOKUP($A$102,'Act Data Set'!$B:$B,'Act Data Set'!C:C)</f>
        <v>0</v>
      </c>
      <c r="C102" s="117">
        <f>_xlfn.XLOOKUP($A$102,'Act Data Set'!$B:$B,'Act Data Set'!D:D)</f>
        <v>0</v>
      </c>
      <c r="D102" s="117">
        <f>_xlfn.XLOOKUP($A$102,'Act Data Set'!$B:$B,'Act Data Set'!E:E)</f>
        <v>0</v>
      </c>
      <c r="E102" s="117">
        <f>_xlfn.XLOOKUP($A$102,'Act Data Set'!$B:$B,'Act Data Set'!F:F)</f>
        <v>0</v>
      </c>
      <c r="F102" s="117">
        <f>_xlfn.XLOOKUP($A$102,'Act Data Set'!$B:$B,'Act Data Set'!G:G)</f>
        <v>0</v>
      </c>
      <c r="G102" s="117">
        <f>_xlfn.XLOOKUP($A$102,'Act Data Set'!$B:$B,'Act Data Set'!H:H)</f>
        <v>0</v>
      </c>
      <c r="H102" s="21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117">
        <f>AVERAGE(B102:G102)</f>
        <v>0</v>
      </c>
    </row>
    <row r="103" spans="1:34" x14ac:dyDescent="0.25">
      <c r="A103" s="120" t="str">
        <f>A101&amp;" Forecast"</f>
        <v>Ocean Volume (DC Stock) Forecast</v>
      </c>
      <c r="B103" s="171"/>
      <c r="C103" s="172"/>
      <c r="D103" s="172"/>
      <c r="E103" s="172"/>
      <c r="F103" s="172"/>
      <c r="G103" s="173"/>
      <c r="H103" s="119">
        <f>_xlfn.XLOOKUP($A$101,'FC1 Data Set'!$B:$B,'FC1 Data Set'!I:I)</f>
        <v>6854.2312165499998</v>
      </c>
      <c r="I103" s="119">
        <f>_xlfn.XLOOKUP($A$101,'FC1 Data Set'!$B:$B,'FC1 Data Set'!J:J)</f>
        <v>8072.3541571732712</v>
      </c>
      <c r="J103" s="119">
        <f>_xlfn.XLOOKUP($A$101,'FC1 Data Set'!$B:$B,'FC1 Data Set'!K:K)</f>
        <v>6293.3086078830793</v>
      </c>
      <c r="K103" s="119">
        <f>_xlfn.XLOOKUP($A$101,'FC1 Data Set'!$B:$B,'FC1 Data Set'!L:L)</f>
        <v>7410.3665428864833</v>
      </c>
      <c r="L103" s="119">
        <f>_xlfn.XLOOKUP($A$101,'FC1 Data Set'!$B:$B,'FC1 Data Set'!M:M)</f>
        <v>8156.129850230287</v>
      </c>
      <c r="M103" s="119">
        <f>_xlfn.XLOOKUP($A$101,'FC1 Data Set'!$B:$B,'FC1 Data Set'!N:N)</f>
        <v>7983.0882463558928</v>
      </c>
      <c r="N103" s="119">
        <f>_xlfn.XLOOKUP($A$101,'FC1 Data Set'!$B:$B,'FC1 Data Set'!O:O)</f>
        <v>6872.4365079900545</v>
      </c>
      <c r="O103" s="119">
        <f>_xlfn.XLOOKUP($A$101,'FC1 Data Set'!$B:$B,'FC1 Data Set'!P:P)</f>
        <v>8492.0683469265878</v>
      </c>
      <c r="P103" s="119">
        <f>_xlfn.XLOOKUP($A$101,'FC1 Data Set'!$B:$B,'FC1 Data Set'!Q:Q)</f>
        <v>7225.4748426264268</v>
      </c>
      <c r="Q103" s="119">
        <f>_xlfn.XLOOKUP($A$101,'FC1 Data Set'!$B:$B,'FC1 Data Set'!R:R)</f>
        <v>8557.3980569257001</v>
      </c>
      <c r="R103" s="119">
        <f>_xlfn.XLOOKUP($A$101,'FC1 Data Set'!$B:$B,'FC1 Data Set'!S:S)</f>
        <v>6127.4460585261559</v>
      </c>
      <c r="S103" s="119">
        <f>_xlfn.XLOOKUP($A$101,'FC1 Data Set'!$B:$B,'FC1 Data Set'!T:T)</f>
        <v>5773.4955916372046</v>
      </c>
      <c r="T103" s="119">
        <f>_xlfn.XLOOKUP($A$101,'FC1 Data Set'!$B:$B,'FC1 Data Set'!U:U)</f>
        <v>6705.8742164370478</v>
      </c>
      <c r="U103" s="119">
        <f>_xlfn.XLOOKUP($A$101,'FC1 Data Set'!$B:$B,'FC1 Data Set'!V:V)</f>
        <v>7959.6580884458654</v>
      </c>
      <c r="V103" s="119">
        <f>_xlfn.XLOOKUP($A$101,'FC1 Data Set'!$B:$B,'FC1 Data Set'!W:W)</f>
        <v>7706.7535907171714</v>
      </c>
      <c r="W103" s="119">
        <f>_xlfn.XLOOKUP($A$101,'FC1 Data Set'!$B:$B,'FC1 Data Set'!X:X)</f>
        <v>7958.4635091469754</v>
      </c>
      <c r="X103" s="119">
        <f>_xlfn.XLOOKUP($A$101,'FC1 Data Set'!$B:$B,'FC1 Data Set'!Y:Y)</f>
        <v>8220.5664879852102</v>
      </c>
      <c r="Y103" s="119">
        <f>_xlfn.XLOOKUP($A$101,'FC1 Data Set'!$B:$B,'FC1 Data Set'!Z:Z)</f>
        <v>8510.6971935911006</v>
      </c>
      <c r="Z103" s="119">
        <f>_xlfn.XLOOKUP($A$101,'FC1 Data Set'!$B:$B,'FC1 Data Set'!AA:AA)</f>
        <v>7238.7398751169621</v>
      </c>
      <c r="AA103" s="119">
        <f>_xlfn.XLOOKUP($A$101,'FC1 Data Set'!$B:$B,'FC1 Data Set'!AB:AB)</f>
        <v>6788.9650178342072</v>
      </c>
      <c r="AB103" s="119">
        <f>_xlfn.XLOOKUP($A$101,'FC1 Data Set'!$B:$B,'FC1 Data Set'!AC:AC)</f>
        <v>7520.8962044800282</v>
      </c>
      <c r="AC103" s="119">
        <f>_xlfn.XLOOKUP($A$101,'FC1 Data Set'!$B:$B,'FC1 Data Set'!AD:AD)</f>
        <v>8978.8684288543554</v>
      </c>
      <c r="AD103" s="119">
        <f>_xlfn.XLOOKUP($A$101,'FC1 Data Set'!$B:$B,'FC1 Data Set'!AE:AE)</f>
        <v>8667.5094848506069</v>
      </c>
      <c r="AE103" s="119">
        <f>_xlfn.XLOOKUP($A$101,'FC1 Data Set'!$B:$B,'FC1 Data Set'!AF:AF)</f>
        <v>8086.5488869856572</v>
      </c>
      <c r="AF103" s="119">
        <f>_xlfn.XLOOKUP($A$101,'FC1 Data Set'!$B:$B,'FC1 Data Set'!AG:AG)</f>
        <v>8599.9805029108029</v>
      </c>
      <c r="AG103" s="119">
        <f>_xlfn.XLOOKUP($A$101,'FC1 Data Set'!$B:$B,'FC1 Data Set'!AH:AH)</f>
        <v>7888.4771723537924</v>
      </c>
      <c r="AH103" s="119">
        <f>AVERAGE(H103:AG103)</f>
        <v>7640.3767955931125</v>
      </c>
    </row>
    <row r="104" spans="1:34" x14ac:dyDescent="0.25">
      <c r="A104" s="112" t="str">
        <f>A102&amp;" Forecast"</f>
        <v>Ocean Volume (Transit) Forecast</v>
      </c>
      <c r="B104" s="171"/>
      <c r="C104" s="172"/>
      <c r="D104" s="172"/>
      <c r="E104" s="172"/>
      <c r="F104" s="172"/>
      <c r="G104" s="173"/>
      <c r="H104" s="118">
        <f>_xlfn.XLOOKUP($A$102,'FC1 Data Set'!$B:$B,'FC1 Data Set'!I:I)</f>
        <v>0</v>
      </c>
      <c r="I104" s="118">
        <f>_xlfn.XLOOKUP($A$102,'FC1 Data Set'!$B:$B,'FC1 Data Set'!J:J)</f>
        <v>0</v>
      </c>
      <c r="J104" s="118">
        <f>_xlfn.XLOOKUP($A$102,'FC1 Data Set'!$B:$B,'FC1 Data Set'!K:K)</f>
        <v>0</v>
      </c>
      <c r="K104" s="118">
        <f>_xlfn.XLOOKUP($A$102,'FC1 Data Set'!$B:$B,'FC1 Data Set'!L:L)</f>
        <v>0</v>
      </c>
      <c r="L104" s="118">
        <f>_xlfn.XLOOKUP($A$102,'FC1 Data Set'!$B:$B,'FC1 Data Set'!M:M)</f>
        <v>0</v>
      </c>
      <c r="M104" s="118">
        <f>_xlfn.XLOOKUP($A$102,'FC1 Data Set'!$B:$B,'FC1 Data Set'!N:N)</f>
        <v>0</v>
      </c>
      <c r="N104" s="118">
        <f>_xlfn.XLOOKUP($A$102,'FC1 Data Set'!$B:$B,'FC1 Data Set'!O:O)</f>
        <v>0</v>
      </c>
      <c r="O104" s="118">
        <f>_xlfn.XLOOKUP($A$102,'FC1 Data Set'!$B:$B,'FC1 Data Set'!P:P)</f>
        <v>0</v>
      </c>
      <c r="P104" s="118">
        <f>_xlfn.XLOOKUP($A$102,'FC1 Data Set'!$B:$B,'FC1 Data Set'!Q:Q)</f>
        <v>0</v>
      </c>
      <c r="Q104" s="118">
        <f>_xlfn.XLOOKUP($A$102,'FC1 Data Set'!$B:$B,'FC1 Data Set'!R:R)</f>
        <v>0</v>
      </c>
      <c r="R104" s="118">
        <f>_xlfn.XLOOKUP($A$102,'FC1 Data Set'!$B:$B,'FC1 Data Set'!S:S)</f>
        <v>0</v>
      </c>
      <c r="S104" s="118">
        <f>_xlfn.XLOOKUP($A$102,'FC1 Data Set'!$B:$B,'FC1 Data Set'!T:T)</f>
        <v>0</v>
      </c>
      <c r="T104" s="118">
        <f>_xlfn.XLOOKUP($A$102,'FC1 Data Set'!$B:$B,'FC1 Data Set'!U:U)</f>
        <v>0</v>
      </c>
      <c r="U104" s="118">
        <f>_xlfn.XLOOKUP($A$102,'FC1 Data Set'!$B:$B,'FC1 Data Set'!V:V)</f>
        <v>0</v>
      </c>
      <c r="V104" s="118">
        <f>_xlfn.XLOOKUP($A$102,'FC1 Data Set'!$B:$B,'FC1 Data Set'!W:W)</f>
        <v>0</v>
      </c>
      <c r="W104" s="118">
        <f>_xlfn.XLOOKUP($A$102,'FC1 Data Set'!$B:$B,'FC1 Data Set'!X:X)</f>
        <v>0</v>
      </c>
      <c r="X104" s="118">
        <f>_xlfn.XLOOKUP($A$102,'FC1 Data Set'!$B:$B,'FC1 Data Set'!Y:Y)</f>
        <v>0</v>
      </c>
      <c r="Y104" s="118">
        <f>_xlfn.XLOOKUP($A$102,'FC1 Data Set'!$B:$B,'FC1 Data Set'!Z:Z)</f>
        <v>0</v>
      </c>
      <c r="Z104" s="118">
        <f>_xlfn.XLOOKUP($A$102,'FC1 Data Set'!$B:$B,'FC1 Data Set'!AA:AA)</f>
        <v>0</v>
      </c>
      <c r="AA104" s="118">
        <f>_xlfn.XLOOKUP($A$102,'FC1 Data Set'!$B:$B,'FC1 Data Set'!AB:AB)</f>
        <v>0</v>
      </c>
      <c r="AB104" s="118">
        <f>_xlfn.XLOOKUP($A$102,'FC1 Data Set'!$B:$B,'FC1 Data Set'!AC:AC)</f>
        <v>0</v>
      </c>
      <c r="AC104" s="118">
        <f>_xlfn.XLOOKUP($A$102,'FC1 Data Set'!$B:$B,'FC1 Data Set'!AD:AD)</f>
        <v>0</v>
      </c>
      <c r="AD104" s="118">
        <f>_xlfn.XLOOKUP($A$102,'FC1 Data Set'!$B:$B,'FC1 Data Set'!AE:AE)</f>
        <v>0</v>
      </c>
      <c r="AE104" s="118">
        <f>_xlfn.XLOOKUP($A$102,'FC1 Data Set'!$B:$B,'FC1 Data Set'!AF:AF)</f>
        <v>0</v>
      </c>
      <c r="AF104" s="118">
        <f>_xlfn.XLOOKUP($A$102,'FC1 Data Set'!$B:$B,'FC1 Data Set'!AG:AG)</f>
        <v>0</v>
      </c>
      <c r="AG104" s="118">
        <f>_xlfn.XLOOKUP($A$102,'FC1 Data Set'!$B:$B,'FC1 Data Set'!AH:AH)</f>
        <v>0</v>
      </c>
      <c r="AH104" s="118">
        <f>AVERAGE(H104:AG104)</f>
        <v>0</v>
      </c>
    </row>
  </sheetData>
  <mergeCells count="8">
    <mergeCell ref="B82:G82"/>
    <mergeCell ref="B103:G103"/>
    <mergeCell ref="B104:G104"/>
    <mergeCell ref="B18:G18"/>
    <mergeCell ref="B38:G38"/>
    <mergeCell ref="B59:G59"/>
    <mergeCell ref="B60:G60"/>
    <mergeCell ref="B81:G81"/>
  </mergeCells>
  <pageMargins left="0.7" right="0.7" top="0.75" bottom="0.75" header="0.3" footer="0.3"/>
  <pageSetup paperSize="9" orientation="portrait" verticalDpi="0" r:id="rId1"/>
  <headerFooter>
    <oddFooter>&amp;C_x000D_&amp;1#&amp;"Noto IKEA Latin"&amp;8&amp;K5A5A5A Internal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6:AP84"/>
  <sheetViews>
    <sheetView showGridLines="0" topLeftCell="A58" zoomScale="80" zoomScaleNormal="80" workbookViewId="0">
      <selection activeCell="B18" sqref="B18"/>
    </sheetView>
  </sheetViews>
  <sheetFormatPr defaultRowHeight="15" x14ac:dyDescent="0.25"/>
  <cols>
    <col min="1" max="1" width="38.85546875" customWidth="1"/>
    <col min="2" max="2" width="8.42578125" bestFit="1" customWidth="1"/>
    <col min="3" max="4" width="8.42578125" customWidth="1"/>
    <col min="5" max="9" width="8.42578125" bestFit="1" customWidth="1"/>
    <col min="10" max="12" width="8.42578125" customWidth="1"/>
    <col min="13" max="21" width="8.42578125" bestFit="1" customWidth="1"/>
    <col min="22" max="33" width="8.42578125" customWidth="1"/>
    <col min="34" max="34" width="8.42578125" bestFit="1" customWidth="1"/>
    <col min="36" max="36" width="23.85546875" customWidth="1"/>
    <col min="37" max="37" width="12.140625" customWidth="1"/>
    <col min="38" max="38" width="7.7109375" customWidth="1"/>
    <col min="40" max="40" width="23.7109375" customWidth="1"/>
    <col min="41" max="41" width="12.140625" customWidth="1"/>
    <col min="42" max="42" width="8.42578125" customWidth="1"/>
  </cols>
  <sheetData>
    <row r="16" spans="1:34" x14ac:dyDescent="0.25">
      <c r="A16" s="14"/>
      <c r="B16" s="9" t="str">
        <f>Overview_Report!C5</f>
        <v>202631</v>
      </c>
      <c r="C16" s="9" t="str">
        <f>Overview_Report!D5</f>
        <v>202632</v>
      </c>
      <c r="D16" s="9" t="str">
        <f>Overview_Report!E5</f>
        <v>202633</v>
      </c>
      <c r="E16" s="9" t="str">
        <f>Overview_Report!F5</f>
        <v>202634</v>
      </c>
      <c r="F16" s="9" t="str">
        <f>Overview_Report!G5</f>
        <v>202635</v>
      </c>
      <c r="G16" s="9" t="str">
        <f>Overview_Report!H5</f>
        <v>202636</v>
      </c>
      <c r="H16" s="9" t="str">
        <f>Overview_Report!I5</f>
        <v>202637</v>
      </c>
      <c r="I16" s="9" t="str">
        <f>Overview_Report!J5</f>
        <v>202638</v>
      </c>
      <c r="J16" s="9" t="str">
        <f>Overview_Report!K5</f>
        <v>202639</v>
      </c>
      <c r="K16" s="9" t="str">
        <f>Overview_Report!L5</f>
        <v>202640</v>
      </c>
      <c r="L16" s="9" t="str">
        <f>Overview_Report!M5</f>
        <v>202641</v>
      </c>
      <c r="M16" s="9" t="str">
        <f>Overview_Report!N5</f>
        <v>202642</v>
      </c>
      <c r="N16" s="9" t="str">
        <f>Overview_Report!O5</f>
        <v>202643</v>
      </c>
      <c r="O16" s="9" t="str">
        <f>Overview_Report!P5</f>
        <v>202644</v>
      </c>
      <c r="P16" s="9" t="str">
        <f>Overview_Report!Q5</f>
        <v>202645</v>
      </c>
      <c r="Q16" s="9" t="str">
        <f>Overview_Report!R5</f>
        <v>202646</v>
      </c>
      <c r="R16" s="9" t="str">
        <f>Overview_Report!S5</f>
        <v>202647</v>
      </c>
      <c r="S16" s="9" t="str">
        <f>Overview_Report!T5</f>
        <v>202648</v>
      </c>
      <c r="T16" s="9" t="str">
        <f>Overview_Report!U5</f>
        <v>202649</v>
      </c>
      <c r="U16" s="9" t="str">
        <f>Overview_Report!V5</f>
        <v>202650</v>
      </c>
      <c r="V16" s="9" t="str">
        <f>Overview_Report!W5</f>
        <v>202651</v>
      </c>
      <c r="W16" s="9" t="str">
        <f>Overview_Report!X5</f>
        <v>202652</v>
      </c>
      <c r="X16" s="9" t="str">
        <f>Overview_Report!Y5</f>
        <v>202653</v>
      </c>
      <c r="Y16" s="9" t="str">
        <f>Overview_Report!Z5</f>
        <v>202701</v>
      </c>
      <c r="Z16" s="9" t="str">
        <f>Overview_Report!AA5</f>
        <v>202702</v>
      </c>
      <c r="AA16" s="9" t="str">
        <f>Overview_Report!AB5</f>
        <v>202703</v>
      </c>
      <c r="AB16" s="9" t="str">
        <f>Overview_Report!AC5</f>
        <v>202704</v>
      </c>
      <c r="AC16" s="9" t="str">
        <f>Overview_Report!AD5</f>
        <v>202705</v>
      </c>
      <c r="AD16" s="9" t="str">
        <f>Overview_Report!AE5</f>
        <v>202706</v>
      </c>
      <c r="AE16" s="9" t="str">
        <f>Overview_Report!AF5</f>
        <v>202707</v>
      </c>
      <c r="AF16" s="9" t="str">
        <f>Overview_Report!AG5</f>
        <v>202708</v>
      </c>
      <c r="AG16" s="9" t="str">
        <f>Overview_Report!AH5</f>
        <v>202709</v>
      </c>
      <c r="AH16" s="9" t="s">
        <v>53</v>
      </c>
    </row>
    <row r="17" spans="1:34" x14ac:dyDescent="0.25">
      <c r="A17" s="49" t="s">
        <v>7</v>
      </c>
      <c r="B17" s="50">
        <f>_xlfn.XLOOKUP($A$17,'Act Data Set'!$B:$B,'Act Data Set'!C:C)</f>
        <v>10007.477000000001</v>
      </c>
      <c r="C17" s="50">
        <f>_xlfn.XLOOKUP($A$17,'Act Data Set'!$B:$B,'Act Data Set'!D:D)</f>
        <v>9971.09</v>
      </c>
      <c r="D17" s="50">
        <f>_xlfn.XLOOKUP($A$17,'Act Data Set'!$B:$B,'Act Data Set'!E:E)</f>
        <v>8690.5730000000003</v>
      </c>
      <c r="E17" s="50">
        <f>_xlfn.XLOOKUP($A$17,'Act Data Set'!$B:$B,'Act Data Set'!F:F)</f>
        <v>8999.5210000000006</v>
      </c>
      <c r="F17" s="50">
        <f>_xlfn.XLOOKUP($A$17,'Act Data Set'!$B:$B,'Act Data Set'!G:G)</f>
        <v>10979.087</v>
      </c>
      <c r="G17" s="50">
        <f>_xlfn.XLOOKUP($A$17,'Act Data Set'!$B:$B,'Act Data Set'!H:H)</f>
        <v>10368.393000000002</v>
      </c>
      <c r="H17" s="32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50">
        <f>AVERAGE(B17:G17)</f>
        <v>9836.0235000000011</v>
      </c>
    </row>
    <row r="18" spans="1:34" x14ac:dyDescent="0.25">
      <c r="A18" s="45" t="s">
        <v>8</v>
      </c>
      <c r="B18" s="46">
        <f>_xlfn.XLOOKUP($A$18,'Act Data Set'!$B:$B,'Act Data Set'!C:C)</f>
        <v>3629.4190000000003</v>
      </c>
      <c r="C18" s="46">
        <f>_xlfn.XLOOKUP($A$18,'Act Data Set'!$B:$B,'Act Data Set'!D:D)</f>
        <v>3876.8670000000002</v>
      </c>
      <c r="D18" s="46">
        <f>_xlfn.XLOOKUP($A$18,'Act Data Set'!$B:$B,'Act Data Set'!E:E)</f>
        <v>3382.087</v>
      </c>
      <c r="E18" s="46">
        <f>_xlfn.XLOOKUP($A$18,'Act Data Set'!$B:$B,'Act Data Set'!F:F)</f>
        <v>4102.25</v>
      </c>
      <c r="F18" s="46">
        <f>_xlfn.XLOOKUP($A$18,'Act Data Set'!$B:$B,'Act Data Set'!G:G)</f>
        <v>3643.7550000000001</v>
      </c>
      <c r="G18" s="46">
        <f>_xlfn.XLOOKUP($A$18,'Act Data Set'!$B:$B,'Act Data Set'!H:H)</f>
        <v>3723.7109999999993</v>
      </c>
      <c r="H18" s="34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1">
        <f>AVERAGE(B18:G18)</f>
        <v>3726.3481666666667</v>
      </c>
    </row>
    <row r="19" spans="1:34" x14ac:dyDescent="0.25">
      <c r="A19" s="47" t="s">
        <v>9</v>
      </c>
      <c r="B19" s="48">
        <f>_xlfn.XLOOKUP($A$19,'Act Data Set'!$B:$B,'Act Data Set'!C:C)</f>
        <v>297.82299999999998</v>
      </c>
      <c r="C19" s="48">
        <f>_xlfn.XLOOKUP($A$19,'Act Data Set'!$B:$B,'Act Data Set'!D:D)</f>
        <v>0</v>
      </c>
      <c r="D19" s="48">
        <f>_xlfn.XLOOKUP($A$19,'Act Data Set'!$B:$B,'Act Data Set'!E:E)</f>
        <v>0</v>
      </c>
      <c r="E19" s="48">
        <f>_xlfn.XLOOKUP($A$19,'Act Data Set'!$B:$B,'Act Data Set'!F:F)</f>
        <v>0</v>
      </c>
      <c r="F19" s="48">
        <f>_xlfn.XLOOKUP($A$19,'Act Data Set'!$B:$B,'Act Data Set'!G:G)</f>
        <v>201.25400000000002</v>
      </c>
      <c r="G19" s="48">
        <f>_xlfn.XLOOKUP($A$19,'Act Data Set'!$B:$B,'Act Data Set'!H:H)</f>
        <v>40.454999999999998</v>
      </c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48">
        <f>AVERAGE(B19:G19)</f>
        <v>89.922000000000011</v>
      </c>
    </row>
    <row r="20" spans="1:34" x14ac:dyDescent="0.25">
      <c r="A20" s="51" t="str">
        <f>A17&amp;" Forecast"</f>
        <v>DC Out from Stock to STO Forecast</v>
      </c>
      <c r="B20" s="38"/>
      <c r="C20" s="39"/>
      <c r="D20" s="39"/>
      <c r="E20" s="39"/>
      <c r="F20" s="39"/>
      <c r="G20" s="40"/>
      <c r="H20" s="51">
        <f>_xlfn.XLOOKUP($A$17,'FC1 Data Set'!$B:$B,'FC1 Data Set'!I:I)</f>
        <v>13011.91382881278</v>
      </c>
      <c r="I20" s="51">
        <f>_xlfn.XLOOKUP($A$17,'FC1 Data Set'!$B:$B,'FC1 Data Set'!J:J)</f>
        <v>10361.632413317559</v>
      </c>
      <c r="J20" s="51">
        <f>_xlfn.XLOOKUP($A$17,'FC1 Data Set'!$B:$B,'FC1 Data Set'!K:K)</f>
        <v>9605.3558516513131</v>
      </c>
      <c r="K20" s="51">
        <f>_xlfn.XLOOKUP($A$17,'FC1 Data Set'!$B:$B,'FC1 Data Set'!L:L)</f>
        <v>9730.1157919145426</v>
      </c>
      <c r="L20" s="51">
        <f>_xlfn.XLOOKUP($A$17,'FC1 Data Set'!$B:$B,'FC1 Data Set'!M:M)</f>
        <v>9577.4699999999993</v>
      </c>
      <c r="M20" s="51">
        <f>_xlfn.XLOOKUP($A$17,'FC1 Data Set'!$B:$B,'FC1 Data Set'!N:N)</f>
        <v>9686.0499999999993</v>
      </c>
      <c r="N20" s="51">
        <f>_xlfn.XLOOKUP($A$17,'FC1 Data Set'!$B:$B,'FC1 Data Set'!O:O)</f>
        <v>10576.203516713305</v>
      </c>
      <c r="O20" s="51">
        <f>_xlfn.XLOOKUP($A$17,'FC1 Data Set'!$B:$B,'FC1 Data Set'!P:P)</f>
        <v>10232.150000000001</v>
      </c>
      <c r="P20" s="51">
        <f>_xlfn.XLOOKUP($A$17,'FC1 Data Set'!$B:$B,'FC1 Data Set'!Q:Q)</f>
        <v>9955.7400000000016</v>
      </c>
      <c r="Q20" s="51">
        <f>_xlfn.XLOOKUP($A$17,'FC1 Data Set'!$B:$B,'FC1 Data Set'!R:R)</f>
        <v>9866.92</v>
      </c>
      <c r="R20" s="51">
        <f>_xlfn.XLOOKUP($A$17,'FC1 Data Set'!$B:$B,'FC1 Data Set'!S:S)</f>
        <v>9510.11</v>
      </c>
      <c r="S20" s="51">
        <f>_xlfn.XLOOKUP($A$17,'FC1 Data Set'!$B:$B,'FC1 Data Set'!T:T)</f>
        <v>11271.227700344791</v>
      </c>
      <c r="T20" s="51">
        <f>_xlfn.XLOOKUP($A$17,'FC1 Data Set'!$B:$B,'FC1 Data Set'!U:U)</f>
        <v>9922.08</v>
      </c>
      <c r="U20" s="51">
        <f>_xlfn.XLOOKUP($A$17,'FC1 Data Set'!$B:$B,'FC1 Data Set'!V:V)</f>
        <v>8213.43</v>
      </c>
      <c r="V20" s="51">
        <f>_xlfn.XLOOKUP($A$17,'FC1 Data Set'!$B:$B,'FC1 Data Set'!W:W)</f>
        <v>7736.6696785654249</v>
      </c>
      <c r="W20" s="51">
        <f>_xlfn.XLOOKUP($A$17,'FC1 Data Set'!$B:$B,'FC1 Data Set'!X:X)</f>
        <v>8425.5583824337591</v>
      </c>
      <c r="X20" s="51">
        <f>_xlfn.XLOOKUP($A$17,'FC1 Data Set'!$B:$B,'FC1 Data Set'!Y:Y)</f>
        <v>10522.060000000001</v>
      </c>
      <c r="Y20" s="51">
        <f>_xlfn.XLOOKUP($A$17,'FC1 Data Set'!$B:$B,'FC1 Data Set'!Z:Z)</f>
        <v>10053.91</v>
      </c>
      <c r="Z20" s="51">
        <f>_xlfn.XLOOKUP($A$17,'FC1 Data Set'!$B:$B,'FC1 Data Set'!AA:AA)</f>
        <v>9648.93</v>
      </c>
      <c r="AA20" s="51">
        <f>_xlfn.XLOOKUP($A$17,'FC1 Data Set'!$B:$B,'FC1 Data Set'!AB:AB)</f>
        <v>8724.966999519349</v>
      </c>
      <c r="AB20" s="51">
        <f>_xlfn.XLOOKUP($A$17,'FC1 Data Set'!$B:$B,'FC1 Data Set'!AC:AC)</f>
        <v>8859.7760910418092</v>
      </c>
      <c r="AC20" s="51">
        <f>_xlfn.XLOOKUP($A$17,'FC1 Data Set'!$B:$B,'FC1 Data Set'!AD:AD)</f>
        <v>8737.901607962749</v>
      </c>
      <c r="AD20" s="51">
        <f>_xlfn.XLOOKUP($A$17,'FC1 Data Set'!$B:$B,'FC1 Data Set'!AE:AE)</f>
        <v>8736.85</v>
      </c>
      <c r="AE20" s="51">
        <f>_xlfn.XLOOKUP($A$17,'FC1 Data Set'!$B:$B,'FC1 Data Set'!AF:AF)</f>
        <v>8813.8880465297625</v>
      </c>
      <c r="AF20" s="51">
        <f>_xlfn.XLOOKUP($A$17,'FC1 Data Set'!$B:$B,'FC1 Data Set'!AG:AG)</f>
        <v>11255.759999999998</v>
      </c>
      <c r="AG20" s="51">
        <f>_xlfn.XLOOKUP($A$17,'FC1 Data Set'!$B:$B,'FC1 Data Set'!AH:AH)</f>
        <v>8833.2000000000007</v>
      </c>
      <c r="AH20" s="51">
        <f>AVERAGE(H20:AG20)</f>
        <v>9687.3026888002751</v>
      </c>
    </row>
    <row r="21" spans="1:34" x14ac:dyDescent="0.25">
      <c r="A21" s="29" t="str">
        <f t="shared" ref="A21:A22" si="0">A18&amp;" Forecast"</f>
        <v>DC Out from Stock to CDC Forecast</v>
      </c>
      <c r="B21" s="41"/>
      <c r="C21" s="42"/>
      <c r="D21" s="42"/>
      <c r="E21" s="42"/>
      <c r="F21" s="42"/>
      <c r="G21" s="43"/>
      <c r="H21" s="29">
        <f>_xlfn.XLOOKUP($A$18,'FC1 Data Set'!$B:$B,'FC1 Data Set'!I:I)</f>
        <v>3894.4361711872225</v>
      </c>
      <c r="I21" s="29">
        <f>_xlfn.XLOOKUP($A$18,'FC1 Data Set'!$B:$B,'FC1 Data Set'!J:J)</f>
        <v>3725.5275866824445</v>
      </c>
      <c r="J21" s="29">
        <f>_xlfn.XLOOKUP($A$18,'FC1 Data Set'!$B:$B,'FC1 Data Set'!K:K)</f>
        <v>3596.4441483486908</v>
      </c>
      <c r="K21" s="29">
        <f>_xlfn.XLOOKUP($A$18,'FC1 Data Set'!$B:$B,'FC1 Data Set'!L:L)</f>
        <v>3562.7742080854564</v>
      </c>
      <c r="L21" s="29">
        <f>_xlfn.XLOOKUP($A$18,'FC1 Data Set'!$B:$B,'FC1 Data Set'!M:M)</f>
        <v>3578.61</v>
      </c>
      <c r="M21" s="29">
        <f>_xlfn.XLOOKUP($A$18,'FC1 Data Set'!$B:$B,'FC1 Data Set'!N:N)</f>
        <v>3393.69</v>
      </c>
      <c r="N21" s="29">
        <f>_xlfn.XLOOKUP($A$18,'FC1 Data Set'!$B:$B,'FC1 Data Set'!O:O)</f>
        <v>3632.1564832866934</v>
      </c>
      <c r="O21" s="29">
        <f>_xlfn.XLOOKUP($A$18,'FC1 Data Set'!$B:$B,'FC1 Data Set'!P:P)</f>
        <v>3602.37</v>
      </c>
      <c r="P21" s="29">
        <f>_xlfn.XLOOKUP($A$18,'FC1 Data Set'!$B:$B,'FC1 Data Set'!Q:Q)</f>
        <v>3656.9299999999994</v>
      </c>
      <c r="Q21" s="29">
        <f>_xlfn.XLOOKUP($A$18,'FC1 Data Set'!$B:$B,'FC1 Data Set'!R:R)</f>
        <v>3469.1899999999996</v>
      </c>
      <c r="R21" s="29">
        <f>_xlfn.XLOOKUP($A$18,'FC1 Data Set'!$B:$B,'FC1 Data Set'!S:S)</f>
        <v>3889.34</v>
      </c>
      <c r="S21" s="29">
        <f>_xlfn.XLOOKUP($A$18,'FC1 Data Set'!$B:$B,'FC1 Data Set'!T:T)</f>
        <v>4242.3722996552087</v>
      </c>
      <c r="T21" s="29">
        <f>_xlfn.XLOOKUP($A$18,'FC1 Data Set'!$B:$B,'FC1 Data Set'!U:U)</f>
        <v>3472.46</v>
      </c>
      <c r="U21" s="29">
        <f>_xlfn.XLOOKUP($A$18,'FC1 Data Set'!$B:$B,'FC1 Data Set'!V:V)</f>
        <v>2749.1800000000003</v>
      </c>
      <c r="V21" s="29">
        <f>_xlfn.XLOOKUP($A$18,'FC1 Data Set'!$B:$B,'FC1 Data Set'!W:W)</f>
        <v>2400.7503214345743</v>
      </c>
      <c r="W21" s="29">
        <f>_xlfn.XLOOKUP($A$18,'FC1 Data Set'!$B:$B,'FC1 Data Set'!X:X)</f>
        <v>3347.3916175662434</v>
      </c>
      <c r="X21" s="29">
        <f>_xlfn.XLOOKUP($A$18,'FC1 Data Set'!$B:$B,'FC1 Data Set'!Y:Y)</f>
        <v>3794.3700000000003</v>
      </c>
      <c r="Y21" s="29">
        <f>_xlfn.XLOOKUP($A$18,'FC1 Data Set'!$B:$B,'FC1 Data Set'!Z:Z)</f>
        <v>4661.74</v>
      </c>
      <c r="Z21" s="29">
        <f>_xlfn.XLOOKUP($A$18,'FC1 Data Set'!$B:$B,'FC1 Data Set'!AA:AA)</f>
        <v>4443.2599999999993</v>
      </c>
      <c r="AA21" s="29">
        <f>_xlfn.XLOOKUP($A$18,'FC1 Data Set'!$B:$B,'FC1 Data Set'!AB:AB)</f>
        <v>3766.8130004806521</v>
      </c>
      <c r="AB21" s="29">
        <f>_xlfn.XLOOKUP($A$18,'FC1 Data Set'!$B:$B,'FC1 Data Set'!AC:AC)</f>
        <v>3779.3439089581907</v>
      </c>
      <c r="AC21" s="29">
        <f>_xlfn.XLOOKUP($A$18,'FC1 Data Set'!$B:$B,'FC1 Data Set'!AD:AD)</f>
        <v>3724.1983920372531</v>
      </c>
      <c r="AD21" s="29">
        <f>_xlfn.XLOOKUP($A$18,'FC1 Data Set'!$B:$B,'FC1 Data Set'!AE:AE)</f>
        <v>3888.13</v>
      </c>
      <c r="AE21" s="29">
        <f>_xlfn.XLOOKUP($A$18,'FC1 Data Set'!$B:$B,'FC1 Data Set'!AF:AF)</f>
        <v>4096.5119534702362</v>
      </c>
      <c r="AF21" s="29">
        <f>_xlfn.XLOOKUP($A$18,'FC1 Data Set'!$B:$B,'FC1 Data Set'!AG:AG)</f>
        <v>4389.33</v>
      </c>
      <c r="AG21" s="29">
        <f>_xlfn.XLOOKUP($A$18,'FC1 Data Set'!$B:$B,'FC1 Data Set'!AH:AH)</f>
        <v>3496.8</v>
      </c>
      <c r="AH21" s="29">
        <f>AVERAGE(H21:AG21)</f>
        <v>3702.0815419689575</v>
      </c>
    </row>
    <row r="22" spans="1:34" x14ac:dyDescent="0.25">
      <c r="A22" s="29" t="str">
        <f t="shared" si="0"/>
        <v>DC Out from Stock to other BU Forecast</v>
      </c>
      <c r="B22" s="41"/>
      <c r="C22" s="42"/>
      <c r="D22" s="42"/>
      <c r="E22" s="42"/>
      <c r="F22" s="42"/>
      <c r="G22" s="43"/>
      <c r="H22" s="29">
        <f>_xlfn.XLOOKUP($A$19,'FC1 Data Set'!$B:$B,'FC1 Data Set'!I:I)</f>
        <v>0</v>
      </c>
      <c r="I22" s="29">
        <f>_xlfn.XLOOKUP($A$19,'FC1 Data Set'!$B:$B,'FC1 Data Set'!J:J)</f>
        <v>0</v>
      </c>
      <c r="J22" s="29">
        <f>_xlfn.XLOOKUP($A$19,'FC1 Data Set'!$B:$B,'FC1 Data Set'!K:K)</f>
        <v>0</v>
      </c>
      <c r="K22" s="29">
        <f>_xlfn.XLOOKUP($A$19,'FC1 Data Set'!$B:$B,'FC1 Data Set'!L:L)</f>
        <v>0</v>
      </c>
      <c r="L22" s="29">
        <f>_xlfn.XLOOKUP($A$19,'FC1 Data Set'!$B:$B,'FC1 Data Set'!M:M)</f>
        <v>0</v>
      </c>
      <c r="M22" s="29">
        <f>_xlfn.XLOOKUP($A$19,'FC1 Data Set'!$B:$B,'FC1 Data Set'!N:N)</f>
        <v>0</v>
      </c>
      <c r="N22" s="29">
        <f>_xlfn.XLOOKUP($A$19,'FC1 Data Set'!$B:$B,'FC1 Data Set'!O:O)</f>
        <v>0</v>
      </c>
      <c r="O22" s="29">
        <f>_xlfn.XLOOKUP($A$19,'FC1 Data Set'!$B:$B,'FC1 Data Set'!P:P)</f>
        <v>0</v>
      </c>
      <c r="P22" s="29">
        <f>_xlfn.XLOOKUP($A$19,'FC1 Data Set'!$B:$B,'FC1 Data Set'!Q:Q)</f>
        <v>0</v>
      </c>
      <c r="Q22" s="29">
        <f>_xlfn.XLOOKUP($A$19,'FC1 Data Set'!$B:$B,'FC1 Data Set'!R:R)</f>
        <v>0</v>
      </c>
      <c r="R22" s="29">
        <f>_xlfn.XLOOKUP($A$19,'FC1 Data Set'!$B:$B,'FC1 Data Set'!S:S)</f>
        <v>0</v>
      </c>
      <c r="S22" s="29">
        <f>_xlfn.XLOOKUP($A$19,'FC1 Data Set'!$B:$B,'FC1 Data Set'!T:T)</f>
        <v>0</v>
      </c>
      <c r="T22" s="29">
        <f>_xlfn.XLOOKUP($A$19,'FC1 Data Set'!$B:$B,'FC1 Data Set'!U:U)</f>
        <v>0</v>
      </c>
      <c r="U22" s="29">
        <f>_xlfn.XLOOKUP($A$19,'FC1 Data Set'!$B:$B,'FC1 Data Set'!V:V)</f>
        <v>0</v>
      </c>
      <c r="V22" s="29">
        <f>_xlfn.XLOOKUP($A$19,'FC1 Data Set'!$B:$B,'FC1 Data Set'!W:W)</f>
        <v>0</v>
      </c>
      <c r="W22" s="29">
        <f>_xlfn.XLOOKUP($A$19,'FC1 Data Set'!$B:$B,'FC1 Data Set'!X:X)</f>
        <v>0</v>
      </c>
      <c r="X22" s="29">
        <f>_xlfn.XLOOKUP($A$19,'FC1 Data Set'!$B:$B,'FC1 Data Set'!Y:Y)</f>
        <v>0</v>
      </c>
      <c r="Y22" s="29">
        <f>_xlfn.XLOOKUP($A$19,'FC1 Data Set'!$B:$B,'FC1 Data Set'!Z:Z)</f>
        <v>0</v>
      </c>
      <c r="Z22" s="29">
        <f>_xlfn.XLOOKUP($A$19,'FC1 Data Set'!$B:$B,'FC1 Data Set'!AA:AA)</f>
        <v>0</v>
      </c>
      <c r="AA22" s="29">
        <f>_xlfn.XLOOKUP($A$19,'FC1 Data Set'!$B:$B,'FC1 Data Set'!AB:AB)</f>
        <v>0</v>
      </c>
      <c r="AB22" s="29">
        <f>_xlfn.XLOOKUP($A$19,'FC1 Data Set'!$B:$B,'FC1 Data Set'!AC:AC)</f>
        <v>0</v>
      </c>
      <c r="AC22" s="29">
        <f>_xlfn.XLOOKUP($A$19,'FC1 Data Set'!$B:$B,'FC1 Data Set'!AD:AD)</f>
        <v>0</v>
      </c>
      <c r="AD22" s="29">
        <f>_xlfn.XLOOKUP($A$19,'FC1 Data Set'!$B:$B,'FC1 Data Set'!AE:AE)</f>
        <v>0</v>
      </c>
      <c r="AE22" s="29">
        <f>_xlfn.XLOOKUP($A$19,'FC1 Data Set'!$B:$B,'FC1 Data Set'!AF:AF)</f>
        <v>0</v>
      </c>
      <c r="AF22" s="29">
        <f>_xlfn.XLOOKUP($A$19,'FC1 Data Set'!$B:$B,'FC1 Data Set'!AG:AG)</f>
        <v>0</v>
      </c>
      <c r="AG22" s="29">
        <f>_xlfn.XLOOKUP($A$19,'FC1 Data Set'!$B:$B,'FC1 Data Set'!AH:AH)</f>
        <v>0</v>
      </c>
      <c r="AH22" s="29">
        <f>AVERAGE(H22:AG22)</f>
        <v>0</v>
      </c>
    </row>
    <row r="40" spans="1:34" x14ac:dyDescent="0.25">
      <c r="A40" s="14"/>
      <c r="B40" s="9" t="str">
        <f>B16</f>
        <v>202631</v>
      </c>
      <c r="C40" s="9" t="str">
        <f t="shared" ref="C40:AG40" si="1">C16</f>
        <v>202632</v>
      </c>
      <c r="D40" s="9" t="str">
        <f t="shared" si="1"/>
        <v>202633</v>
      </c>
      <c r="E40" s="9" t="str">
        <f t="shared" si="1"/>
        <v>202634</v>
      </c>
      <c r="F40" s="9" t="str">
        <f t="shared" si="1"/>
        <v>202635</v>
      </c>
      <c r="G40" s="9" t="str">
        <f t="shared" si="1"/>
        <v>202636</v>
      </c>
      <c r="H40" s="9" t="str">
        <f t="shared" si="1"/>
        <v>202637</v>
      </c>
      <c r="I40" s="9" t="str">
        <f t="shared" si="1"/>
        <v>202638</v>
      </c>
      <c r="J40" s="9" t="str">
        <f t="shared" si="1"/>
        <v>202639</v>
      </c>
      <c r="K40" s="9" t="str">
        <f t="shared" si="1"/>
        <v>202640</v>
      </c>
      <c r="L40" s="9" t="str">
        <f t="shared" si="1"/>
        <v>202641</v>
      </c>
      <c r="M40" s="9" t="str">
        <f t="shared" si="1"/>
        <v>202642</v>
      </c>
      <c r="N40" s="9" t="str">
        <f t="shared" si="1"/>
        <v>202643</v>
      </c>
      <c r="O40" s="9" t="str">
        <f t="shared" si="1"/>
        <v>202644</v>
      </c>
      <c r="P40" s="9" t="str">
        <f t="shared" si="1"/>
        <v>202645</v>
      </c>
      <c r="Q40" s="9" t="str">
        <f t="shared" si="1"/>
        <v>202646</v>
      </c>
      <c r="R40" s="9" t="str">
        <f t="shared" si="1"/>
        <v>202647</v>
      </c>
      <c r="S40" s="9" t="str">
        <f t="shared" si="1"/>
        <v>202648</v>
      </c>
      <c r="T40" s="9" t="str">
        <f t="shared" si="1"/>
        <v>202649</v>
      </c>
      <c r="U40" s="9" t="str">
        <f t="shared" si="1"/>
        <v>202650</v>
      </c>
      <c r="V40" s="9" t="str">
        <f t="shared" si="1"/>
        <v>202651</v>
      </c>
      <c r="W40" s="9" t="str">
        <f t="shared" si="1"/>
        <v>202652</v>
      </c>
      <c r="X40" s="9" t="str">
        <f t="shared" si="1"/>
        <v>202653</v>
      </c>
      <c r="Y40" s="9" t="str">
        <f t="shared" si="1"/>
        <v>202701</v>
      </c>
      <c r="Z40" s="9" t="str">
        <f t="shared" si="1"/>
        <v>202702</v>
      </c>
      <c r="AA40" s="9" t="str">
        <f t="shared" si="1"/>
        <v>202703</v>
      </c>
      <c r="AB40" s="9" t="str">
        <f t="shared" si="1"/>
        <v>202704</v>
      </c>
      <c r="AC40" s="9" t="str">
        <f t="shared" si="1"/>
        <v>202705</v>
      </c>
      <c r="AD40" s="9" t="str">
        <f t="shared" si="1"/>
        <v>202706</v>
      </c>
      <c r="AE40" s="9" t="str">
        <f t="shared" si="1"/>
        <v>202707</v>
      </c>
      <c r="AF40" s="9" t="str">
        <f t="shared" si="1"/>
        <v>202708</v>
      </c>
      <c r="AG40" s="9" t="str">
        <f t="shared" si="1"/>
        <v>202709</v>
      </c>
      <c r="AH40" s="9" t="s">
        <v>53</v>
      </c>
    </row>
    <row r="41" spans="1:34" x14ac:dyDescent="0.25">
      <c r="A41" s="30" t="s">
        <v>11</v>
      </c>
      <c r="B41" s="31">
        <f>_xlfn.XLOOKUP($A$41,'Act Data Set'!$B:$B,'Act Data Set'!C:C)</f>
        <v>6815.12</v>
      </c>
      <c r="C41" s="31">
        <f>_xlfn.XLOOKUP($A$41,'Act Data Set'!$B:$B,'Act Data Set'!D:D)</f>
        <v>7643.7059999999992</v>
      </c>
      <c r="D41" s="31">
        <f>_xlfn.XLOOKUP($A$41,'Act Data Set'!$B:$B,'Act Data Set'!E:E)</f>
        <v>8230.7090000000007</v>
      </c>
      <c r="E41" s="31">
        <f>_xlfn.XLOOKUP($A$41,'Act Data Set'!$B:$B,'Act Data Set'!F:F)</f>
        <v>7483.62</v>
      </c>
      <c r="F41" s="31">
        <f>_xlfn.XLOOKUP($A$41,'Act Data Set'!$B:$B,'Act Data Set'!G:G)</f>
        <v>7821.6380000000008</v>
      </c>
      <c r="G41" s="31">
        <f>_xlfn.XLOOKUP($A$41,'Act Data Set'!$B:$B,'Act Data Set'!H:H)</f>
        <v>7754.7690000000002</v>
      </c>
      <c r="H41" s="32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1">
        <f>AVERAGE(B41:G41)</f>
        <v>7624.9269999999997</v>
      </c>
    </row>
    <row r="42" spans="1:34" x14ac:dyDescent="0.25">
      <c r="A42" s="29" t="str">
        <f>A41&amp;" Forecast"</f>
        <v>Total DC Out Transit Forecast</v>
      </c>
      <c r="B42" s="38"/>
      <c r="C42" s="39"/>
      <c r="D42" s="39"/>
      <c r="E42" s="39"/>
      <c r="F42" s="39"/>
      <c r="G42" s="40"/>
      <c r="H42" s="29">
        <f>_xlfn.XLOOKUP($A$41,'FC1 Data Set'!$B:$B,'FC1 Data Set'!I:I)</f>
        <v>11180.796999999999</v>
      </c>
      <c r="I42" s="29">
        <f>_xlfn.XLOOKUP($A$41,'FC1 Data Set'!$B:$B,'FC1 Data Set'!J:J)</f>
        <v>8371.8130000000001</v>
      </c>
      <c r="J42" s="29">
        <f>_xlfn.XLOOKUP($A$41,'FC1 Data Set'!$B:$B,'FC1 Data Set'!K:K)</f>
        <v>10117.606000000002</v>
      </c>
      <c r="K42" s="29">
        <f>_xlfn.XLOOKUP($A$41,'FC1 Data Set'!$B:$B,'FC1 Data Set'!L:L)</f>
        <v>8669.8359999999993</v>
      </c>
      <c r="L42" s="29">
        <f>_xlfn.XLOOKUP($A$41,'FC1 Data Set'!$B:$B,'FC1 Data Set'!M:M)</f>
        <v>8260.0560000000005</v>
      </c>
      <c r="M42" s="29">
        <f>_xlfn.XLOOKUP($A$41,'FC1 Data Set'!$B:$B,'FC1 Data Set'!N:N)</f>
        <v>9513.43</v>
      </c>
      <c r="N42" s="29">
        <f>_xlfn.XLOOKUP($A$41,'FC1 Data Set'!$B:$B,'FC1 Data Set'!O:O)</f>
        <v>10133.839999999998</v>
      </c>
      <c r="O42" s="29">
        <f>_xlfn.XLOOKUP($A$41,'FC1 Data Set'!$B:$B,'FC1 Data Set'!P:P)</f>
        <v>9543.5000000000018</v>
      </c>
      <c r="P42" s="29">
        <f>_xlfn.XLOOKUP($A$41,'FC1 Data Set'!$B:$B,'FC1 Data Set'!Q:Q)</f>
        <v>9795</v>
      </c>
      <c r="Q42" s="29">
        <f>_xlfn.XLOOKUP($A$41,'FC1 Data Set'!$B:$B,'FC1 Data Set'!R:R)</f>
        <v>9766.619999999999</v>
      </c>
      <c r="R42" s="29">
        <f>_xlfn.XLOOKUP($A$41,'FC1 Data Set'!$B:$B,'FC1 Data Set'!S:S)</f>
        <v>9361.33</v>
      </c>
      <c r="S42" s="29">
        <f>_xlfn.XLOOKUP($A$41,'FC1 Data Set'!$B:$B,'FC1 Data Set'!T:T)</f>
        <v>9499.2000000000007</v>
      </c>
      <c r="T42" s="29">
        <f>_xlfn.XLOOKUP($A$41,'FC1 Data Set'!$B:$B,'FC1 Data Set'!U:U)</f>
        <v>9012.2999999999975</v>
      </c>
      <c r="U42" s="29">
        <f>_xlfn.XLOOKUP($A$41,'FC1 Data Set'!$B:$B,'FC1 Data Set'!V:V)</f>
        <v>7789.93</v>
      </c>
      <c r="V42" s="29">
        <f>_xlfn.XLOOKUP($A$41,'FC1 Data Set'!$B:$B,'FC1 Data Set'!W:W)</f>
        <v>7887.95</v>
      </c>
      <c r="W42" s="29">
        <f>_xlfn.XLOOKUP($A$41,'FC1 Data Set'!$B:$B,'FC1 Data Set'!X:X)</f>
        <v>9269.7100000000009</v>
      </c>
      <c r="X42" s="29">
        <f>_xlfn.XLOOKUP($A$41,'FC1 Data Set'!$B:$B,'FC1 Data Set'!Y:Y)</f>
        <v>9218.4399999999987</v>
      </c>
      <c r="Y42" s="29">
        <f>_xlfn.XLOOKUP($A$41,'FC1 Data Set'!$B:$B,'FC1 Data Set'!Z:Z)</f>
        <v>9113.91</v>
      </c>
      <c r="Z42" s="29">
        <f>_xlfn.XLOOKUP($A$41,'FC1 Data Set'!$B:$B,'FC1 Data Set'!AA:AA)</f>
        <v>5638.4599999999991</v>
      </c>
      <c r="AA42" s="29">
        <f>_xlfn.XLOOKUP($A$41,'FC1 Data Set'!$B:$B,'FC1 Data Set'!AB:AB)</f>
        <v>6800.3499999999995</v>
      </c>
      <c r="AB42" s="29">
        <f>_xlfn.XLOOKUP($A$41,'FC1 Data Set'!$B:$B,'FC1 Data Set'!AC:AC)</f>
        <v>8111.1399999999985</v>
      </c>
      <c r="AC42" s="29">
        <f>_xlfn.XLOOKUP($A$41,'FC1 Data Set'!$B:$B,'FC1 Data Set'!AD:AD)</f>
        <v>8464.4600000000009</v>
      </c>
      <c r="AD42" s="29">
        <f>_xlfn.XLOOKUP($A$41,'FC1 Data Set'!$B:$B,'FC1 Data Set'!AE:AE)</f>
        <v>8640.17</v>
      </c>
      <c r="AE42" s="29">
        <f>_xlfn.XLOOKUP($A$41,'FC1 Data Set'!$B:$B,'FC1 Data Set'!AF:AF)</f>
        <v>8750.5199999999986</v>
      </c>
      <c r="AF42" s="29">
        <f>_xlfn.XLOOKUP($A$41,'FC1 Data Set'!$B:$B,'FC1 Data Set'!AG:AG)</f>
        <v>9396.1299999999992</v>
      </c>
      <c r="AG42" s="29">
        <f>_xlfn.XLOOKUP($A$41,'FC1 Data Set'!$B:$B,'FC1 Data Set'!AH:AH)</f>
        <v>8209.9900000000016</v>
      </c>
      <c r="AH42" s="29">
        <f>AVERAGE(H42:AG42)</f>
        <v>8866.0187692307682</v>
      </c>
    </row>
    <row r="60" spans="1:42" x14ac:dyDescent="0.25">
      <c r="A60" s="14"/>
      <c r="B60" s="9" t="str">
        <f>B40</f>
        <v>202631</v>
      </c>
      <c r="C60" s="9" t="str">
        <f t="shared" ref="C60:AG60" si="2">C40</f>
        <v>202632</v>
      </c>
      <c r="D60" s="9" t="str">
        <f t="shared" si="2"/>
        <v>202633</v>
      </c>
      <c r="E60" s="9" t="str">
        <f t="shared" si="2"/>
        <v>202634</v>
      </c>
      <c r="F60" s="9" t="str">
        <f t="shared" si="2"/>
        <v>202635</v>
      </c>
      <c r="G60" s="9" t="str">
        <f t="shared" si="2"/>
        <v>202636</v>
      </c>
      <c r="H60" s="9" t="str">
        <f t="shared" si="2"/>
        <v>202637</v>
      </c>
      <c r="I60" s="9" t="str">
        <f t="shared" si="2"/>
        <v>202638</v>
      </c>
      <c r="J60" s="9" t="str">
        <f t="shared" si="2"/>
        <v>202639</v>
      </c>
      <c r="K60" s="9" t="str">
        <f t="shared" si="2"/>
        <v>202640</v>
      </c>
      <c r="L60" s="9" t="str">
        <f t="shared" si="2"/>
        <v>202641</v>
      </c>
      <c r="M60" s="9" t="str">
        <f t="shared" si="2"/>
        <v>202642</v>
      </c>
      <c r="N60" s="9" t="str">
        <f t="shared" si="2"/>
        <v>202643</v>
      </c>
      <c r="O60" s="9" t="str">
        <f t="shared" si="2"/>
        <v>202644</v>
      </c>
      <c r="P60" s="9" t="str">
        <f t="shared" si="2"/>
        <v>202645</v>
      </c>
      <c r="Q60" s="9" t="str">
        <f t="shared" si="2"/>
        <v>202646</v>
      </c>
      <c r="R60" s="9" t="str">
        <f t="shared" si="2"/>
        <v>202647</v>
      </c>
      <c r="S60" s="9" t="str">
        <f t="shared" si="2"/>
        <v>202648</v>
      </c>
      <c r="T60" s="9" t="str">
        <f t="shared" si="2"/>
        <v>202649</v>
      </c>
      <c r="U60" s="9" t="str">
        <f t="shared" si="2"/>
        <v>202650</v>
      </c>
      <c r="V60" s="9" t="str">
        <f t="shared" si="2"/>
        <v>202651</v>
      </c>
      <c r="W60" s="9" t="str">
        <f t="shared" si="2"/>
        <v>202652</v>
      </c>
      <c r="X60" s="9" t="str">
        <f t="shared" si="2"/>
        <v>202653</v>
      </c>
      <c r="Y60" s="9" t="str">
        <f t="shared" si="2"/>
        <v>202701</v>
      </c>
      <c r="Z60" s="9" t="str">
        <f t="shared" si="2"/>
        <v>202702</v>
      </c>
      <c r="AA60" s="9" t="str">
        <f t="shared" si="2"/>
        <v>202703</v>
      </c>
      <c r="AB60" s="9" t="str">
        <f t="shared" si="2"/>
        <v>202704</v>
      </c>
      <c r="AC60" s="9" t="str">
        <f t="shared" si="2"/>
        <v>202705</v>
      </c>
      <c r="AD60" s="9" t="str">
        <f t="shared" si="2"/>
        <v>202706</v>
      </c>
      <c r="AE60" s="9" t="str">
        <f t="shared" si="2"/>
        <v>202707</v>
      </c>
      <c r="AF60" s="9" t="str">
        <f t="shared" si="2"/>
        <v>202708</v>
      </c>
      <c r="AG60" s="9" t="str">
        <f t="shared" si="2"/>
        <v>202709</v>
      </c>
      <c r="AH60" s="9" t="s">
        <v>53</v>
      </c>
    </row>
    <row r="61" spans="1:42" x14ac:dyDescent="0.25">
      <c r="A61" s="49" t="s">
        <v>11</v>
      </c>
      <c r="B61" s="50">
        <f>B41</f>
        <v>6815.12</v>
      </c>
      <c r="C61" s="50">
        <f t="shared" ref="C61:G61" si="3">C41</f>
        <v>7643.7059999999992</v>
      </c>
      <c r="D61" s="50">
        <f t="shared" si="3"/>
        <v>8230.7090000000007</v>
      </c>
      <c r="E61" s="50">
        <f t="shared" si="3"/>
        <v>7483.62</v>
      </c>
      <c r="F61" s="50">
        <f t="shared" si="3"/>
        <v>7821.6380000000008</v>
      </c>
      <c r="G61" s="50">
        <f t="shared" si="3"/>
        <v>7754.7690000000002</v>
      </c>
      <c r="H61" s="32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50">
        <f>AVERAGE(B61:G61)</f>
        <v>7624.9269999999997</v>
      </c>
      <c r="AJ61" s="13" t="s">
        <v>55</v>
      </c>
      <c r="AK61" s="12" t="s">
        <v>56</v>
      </c>
      <c r="AL61" s="13" t="s">
        <v>57</v>
      </c>
      <c r="AN61" s="13" t="s">
        <v>55</v>
      </c>
      <c r="AO61" s="9" t="s">
        <v>59</v>
      </c>
      <c r="AP61" s="13" t="s">
        <v>57</v>
      </c>
    </row>
    <row r="62" spans="1:42" x14ac:dyDescent="0.25">
      <c r="A62" s="30" t="s">
        <v>10</v>
      </c>
      <c r="B62" s="31">
        <f>SUM(B17:B19)</f>
        <v>13934.719000000001</v>
      </c>
      <c r="C62" s="31">
        <f t="shared" ref="C62:G62" si="4">SUM(C17:C19)</f>
        <v>13847.957</v>
      </c>
      <c r="D62" s="31">
        <f t="shared" si="4"/>
        <v>12072.66</v>
      </c>
      <c r="E62" s="31">
        <f t="shared" si="4"/>
        <v>13101.771000000001</v>
      </c>
      <c r="F62" s="31">
        <f t="shared" si="4"/>
        <v>14824.096000000001</v>
      </c>
      <c r="G62" s="31">
        <f t="shared" si="4"/>
        <v>14132.559000000001</v>
      </c>
      <c r="H62" s="32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1">
        <f>AVERAGE(B62:G62)</f>
        <v>13652.293666666665</v>
      </c>
      <c r="AJ62" s="50" t="s">
        <v>10</v>
      </c>
      <c r="AK62" s="50">
        <f>AH61</f>
        <v>7624.9269999999997</v>
      </c>
      <c r="AL62" s="54">
        <f>AK62/$AK$64</f>
        <v>0.35836104345833891</v>
      </c>
      <c r="AN62" s="50" t="s">
        <v>10</v>
      </c>
      <c r="AO62" s="50">
        <f>AH63</f>
        <v>8866.0187692307682</v>
      </c>
      <c r="AP62" s="54">
        <f>AO62/$AO$64</f>
        <v>0.39266143655455216</v>
      </c>
    </row>
    <row r="63" spans="1:42" x14ac:dyDescent="0.25">
      <c r="A63" s="51" t="str">
        <f>A61&amp;" Forecast"</f>
        <v>Total DC Out Transit Forecast</v>
      </c>
      <c r="B63" s="38"/>
      <c r="C63" s="39"/>
      <c r="D63" s="39"/>
      <c r="E63" s="39"/>
      <c r="F63" s="39"/>
      <c r="G63" s="40"/>
      <c r="H63" s="51">
        <f>H42</f>
        <v>11180.796999999999</v>
      </c>
      <c r="I63" s="51">
        <f t="shared" ref="I63:AG63" si="5">I42</f>
        <v>8371.8130000000001</v>
      </c>
      <c r="J63" s="51">
        <f t="shared" si="5"/>
        <v>10117.606000000002</v>
      </c>
      <c r="K63" s="51">
        <f t="shared" si="5"/>
        <v>8669.8359999999993</v>
      </c>
      <c r="L63" s="51">
        <f t="shared" si="5"/>
        <v>8260.0560000000005</v>
      </c>
      <c r="M63" s="51">
        <f t="shared" si="5"/>
        <v>9513.43</v>
      </c>
      <c r="N63" s="51">
        <f t="shared" si="5"/>
        <v>10133.839999999998</v>
      </c>
      <c r="O63" s="51">
        <f t="shared" si="5"/>
        <v>9543.5000000000018</v>
      </c>
      <c r="P63" s="51">
        <f t="shared" si="5"/>
        <v>9795</v>
      </c>
      <c r="Q63" s="51">
        <f t="shared" si="5"/>
        <v>9766.619999999999</v>
      </c>
      <c r="R63" s="51">
        <f t="shared" si="5"/>
        <v>9361.33</v>
      </c>
      <c r="S63" s="51">
        <f t="shared" si="5"/>
        <v>9499.2000000000007</v>
      </c>
      <c r="T63" s="51">
        <f t="shared" si="5"/>
        <v>9012.2999999999975</v>
      </c>
      <c r="U63" s="51">
        <f t="shared" si="5"/>
        <v>7789.93</v>
      </c>
      <c r="V63" s="51">
        <f t="shared" si="5"/>
        <v>7887.95</v>
      </c>
      <c r="W63" s="51">
        <f t="shared" si="5"/>
        <v>9269.7100000000009</v>
      </c>
      <c r="X63" s="51">
        <f t="shared" si="5"/>
        <v>9218.4399999999987</v>
      </c>
      <c r="Y63" s="51">
        <f t="shared" si="5"/>
        <v>9113.91</v>
      </c>
      <c r="Z63" s="51">
        <f t="shared" si="5"/>
        <v>5638.4599999999991</v>
      </c>
      <c r="AA63" s="51">
        <f t="shared" si="5"/>
        <v>6800.3499999999995</v>
      </c>
      <c r="AB63" s="51">
        <f t="shared" si="5"/>
        <v>8111.1399999999985</v>
      </c>
      <c r="AC63" s="51">
        <f t="shared" si="5"/>
        <v>8464.4600000000009</v>
      </c>
      <c r="AD63" s="51">
        <f t="shared" si="5"/>
        <v>8640.17</v>
      </c>
      <c r="AE63" s="51">
        <f t="shared" si="5"/>
        <v>8750.5199999999986</v>
      </c>
      <c r="AF63" s="51">
        <f t="shared" si="5"/>
        <v>9396.1299999999992</v>
      </c>
      <c r="AG63" s="51">
        <f t="shared" si="5"/>
        <v>8209.9900000000016</v>
      </c>
      <c r="AH63" s="51">
        <f>AVERAGE(H63:AG63)</f>
        <v>8866.0187692307682</v>
      </c>
      <c r="AJ63" s="30" t="s">
        <v>11</v>
      </c>
      <c r="AK63" s="53">
        <f>AH62</f>
        <v>13652.293666666665</v>
      </c>
      <c r="AL63" s="55">
        <f>AK63/$AK$64</f>
        <v>0.64163895654166103</v>
      </c>
      <c r="AN63" s="30" t="s">
        <v>11</v>
      </c>
      <c r="AO63" s="53">
        <f>AH64</f>
        <v>13713.277142857147</v>
      </c>
      <c r="AP63" s="55">
        <f>AO63/$AO$64</f>
        <v>0.60733856344544779</v>
      </c>
    </row>
    <row r="64" spans="1:42" x14ac:dyDescent="0.25">
      <c r="A64" s="52" t="str">
        <f>A62&amp;" Forecast"</f>
        <v>Total DC Out from Stock Forecast</v>
      </c>
      <c r="B64" s="38"/>
      <c r="C64" s="39"/>
      <c r="D64" s="39"/>
      <c r="E64" s="39"/>
      <c r="F64" s="39"/>
      <c r="G64" s="40"/>
      <c r="H64" s="29">
        <f>SUM(H20:H22)</f>
        <v>16906.350000000002</v>
      </c>
      <c r="I64" s="29">
        <f t="shared" ref="I64:AG64" si="6">SUM(I20:I22)</f>
        <v>14087.160000000003</v>
      </c>
      <c r="J64" s="29">
        <f t="shared" si="6"/>
        <v>13201.800000000003</v>
      </c>
      <c r="K64" s="29">
        <f t="shared" si="6"/>
        <v>13292.89</v>
      </c>
      <c r="L64" s="29">
        <f t="shared" si="6"/>
        <v>13156.08</v>
      </c>
      <c r="M64" s="29">
        <f t="shared" si="6"/>
        <v>13079.74</v>
      </c>
      <c r="N64" s="29">
        <f t="shared" si="6"/>
        <v>14208.359999999999</v>
      </c>
      <c r="O64" s="29">
        <f t="shared" si="6"/>
        <v>13834.52</v>
      </c>
      <c r="P64" s="29">
        <f t="shared" si="6"/>
        <v>13612.670000000002</v>
      </c>
      <c r="Q64" s="29">
        <f t="shared" si="6"/>
        <v>13336.11</v>
      </c>
      <c r="R64" s="29">
        <f t="shared" si="6"/>
        <v>13399.45</v>
      </c>
      <c r="S64" s="29">
        <f t="shared" si="6"/>
        <v>15513.599999999999</v>
      </c>
      <c r="T64" s="29">
        <f t="shared" si="6"/>
        <v>13394.54</v>
      </c>
      <c r="U64" s="29">
        <f t="shared" si="6"/>
        <v>10962.61</v>
      </c>
      <c r="V64" s="29">
        <f t="shared" si="6"/>
        <v>10137.419999999998</v>
      </c>
      <c r="W64" s="29">
        <f t="shared" si="6"/>
        <v>11772.950000000003</v>
      </c>
      <c r="X64" s="29">
        <f t="shared" si="6"/>
        <v>14316.430000000002</v>
      </c>
      <c r="Y64" s="29">
        <f t="shared" si="6"/>
        <v>14715.65</v>
      </c>
      <c r="Z64" s="29">
        <f t="shared" si="6"/>
        <v>14092.189999999999</v>
      </c>
      <c r="AA64" s="29">
        <f t="shared" si="6"/>
        <v>12491.78</v>
      </c>
      <c r="AB64" s="29">
        <f t="shared" si="6"/>
        <v>12639.119999999999</v>
      </c>
      <c r="AC64" s="29">
        <f t="shared" si="6"/>
        <v>12462.100000000002</v>
      </c>
      <c r="AD64" s="29">
        <f t="shared" si="6"/>
        <v>12624.98</v>
      </c>
      <c r="AE64" s="29">
        <f t="shared" si="6"/>
        <v>12910.399999999998</v>
      </c>
      <c r="AF64" s="29">
        <f t="shared" si="6"/>
        <v>15645.089999999998</v>
      </c>
      <c r="AG64" s="29">
        <f t="shared" si="6"/>
        <v>12330</v>
      </c>
      <c r="AH64" s="29">
        <f>AVERAGE(H64:U64)</f>
        <v>13713.277142857147</v>
      </c>
      <c r="AJ64" s="10" t="s">
        <v>58</v>
      </c>
      <c r="AK64" s="11">
        <f>SUM(AK62:AK63)</f>
        <v>21277.220666666664</v>
      </c>
      <c r="AL64" s="10"/>
      <c r="AN64" s="10" t="s">
        <v>58</v>
      </c>
      <c r="AO64" s="11">
        <f>SUM(AO62:AO63)</f>
        <v>22579.295912087917</v>
      </c>
      <c r="AP64" s="10"/>
    </row>
    <row r="82" spans="1:34" x14ac:dyDescent="0.25">
      <c r="A82" s="14"/>
      <c r="B82" s="9" t="str">
        <f>B60</f>
        <v>202631</v>
      </c>
      <c r="C82" s="9" t="str">
        <f t="shared" ref="C82:AG82" si="7">C60</f>
        <v>202632</v>
      </c>
      <c r="D82" s="9" t="str">
        <f t="shared" si="7"/>
        <v>202633</v>
      </c>
      <c r="E82" s="9" t="str">
        <f t="shared" si="7"/>
        <v>202634</v>
      </c>
      <c r="F82" s="9" t="str">
        <f t="shared" si="7"/>
        <v>202635</v>
      </c>
      <c r="G82" s="9" t="str">
        <f t="shared" si="7"/>
        <v>202636</v>
      </c>
      <c r="H82" s="9" t="str">
        <f t="shared" si="7"/>
        <v>202637</v>
      </c>
      <c r="I82" s="9" t="str">
        <f t="shared" si="7"/>
        <v>202638</v>
      </c>
      <c r="J82" s="9" t="str">
        <f t="shared" si="7"/>
        <v>202639</v>
      </c>
      <c r="K82" s="9" t="str">
        <f t="shared" si="7"/>
        <v>202640</v>
      </c>
      <c r="L82" s="9" t="str">
        <f t="shared" si="7"/>
        <v>202641</v>
      </c>
      <c r="M82" s="9" t="str">
        <f t="shared" si="7"/>
        <v>202642</v>
      </c>
      <c r="N82" s="9" t="str">
        <f t="shared" si="7"/>
        <v>202643</v>
      </c>
      <c r="O82" s="9" t="str">
        <f t="shared" si="7"/>
        <v>202644</v>
      </c>
      <c r="P82" s="9" t="str">
        <f t="shared" si="7"/>
        <v>202645</v>
      </c>
      <c r="Q82" s="9" t="str">
        <f t="shared" si="7"/>
        <v>202646</v>
      </c>
      <c r="R82" s="9" t="str">
        <f t="shared" si="7"/>
        <v>202647</v>
      </c>
      <c r="S82" s="9" t="str">
        <f t="shared" si="7"/>
        <v>202648</v>
      </c>
      <c r="T82" s="9" t="str">
        <f t="shared" si="7"/>
        <v>202649</v>
      </c>
      <c r="U82" s="9" t="str">
        <f t="shared" si="7"/>
        <v>202650</v>
      </c>
      <c r="V82" s="9" t="str">
        <f t="shared" si="7"/>
        <v>202651</v>
      </c>
      <c r="W82" s="9" t="str">
        <f t="shared" si="7"/>
        <v>202652</v>
      </c>
      <c r="X82" s="9" t="str">
        <f t="shared" si="7"/>
        <v>202653</v>
      </c>
      <c r="Y82" s="9" t="str">
        <f t="shared" si="7"/>
        <v>202701</v>
      </c>
      <c r="Z82" s="9" t="str">
        <f t="shared" si="7"/>
        <v>202702</v>
      </c>
      <c r="AA82" s="9" t="str">
        <f t="shared" si="7"/>
        <v>202703</v>
      </c>
      <c r="AB82" s="9" t="str">
        <f t="shared" si="7"/>
        <v>202704</v>
      </c>
      <c r="AC82" s="9" t="str">
        <f t="shared" si="7"/>
        <v>202705</v>
      </c>
      <c r="AD82" s="9" t="str">
        <f t="shared" si="7"/>
        <v>202706</v>
      </c>
      <c r="AE82" s="9" t="str">
        <f t="shared" si="7"/>
        <v>202707</v>
      </c>
      <c r="AF82" s="9" t="str">
        <f t="shared" si="7"/>
        <v>202708</v>
      </c>
      <c r="AG82" s="9" t="str">
        <f t="shared" si="7"/>
        <v>202709</v>
      </c>
      <c r="AH82" s="9" t="s">
        <v>53</v>
      </c>
    </row>
    <row r="83" spans="1:34" x14ac:dyDescent="0.25">
      <c r="A83" s="56" t="s">
        <v>19</v>
      </c>
      <c r="B83" s="127">
        <f>_xlfn.XLOOKUP($A$83,'Act Data Set'!$B:$B,'Act Data Set'!C:C)</f>
        <v>32973</v>
      </c>
      <c r="C83" s="127">
        <f>_xlfn.XLOOKUP($A$83,'Act Data Set'!$B:$B,'Act Data Set'!D:D)</f>
        <v>34418</v>
      </c>
      <c r="D83" s="127">
        <f>_xlfn.XLOOKUP($A$83,'Act Data Set'!$B:$B,'Act Data Set'!E:E)</f>
        <v>33672</v>
      </c>
      <c r="E83" s="127">
        <f>_xlfn.XLOOKUP($A$83,'Act Data Set'!$B:$B,'Act Data Set'!F:F)</f>
        <v>33005</v>
      </c>
      <c r="F83" s="127">
        <f>_xlfn.XLOOKUP($A$83,'Act Data Set'!$B:$B,'Act Data Set'!G:G)</f>
        <v>36890</v>
      </c>
      <c r="G83" s="127">
        <f>_xlfn.XLOOKUP($A$83,'Act Data Set'!$B:$B,'Act Data Set'!H:H)</f>
        <v>35208</v>
      </c>
      <c r="H83" s="32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127">
        <f>AVERAGE(B83:G83)</f>
        <v>34361</v>
      </c>
    </row>
    <row r="84" spans="1:34" x14ac:dyDescent="0.25">
      <c r="A84" s="107" t="str">
        <f>A83&amp;" Forecast"</f>
        <v>Total OL Forecast</v>
      </c>
      <c r="B84" s="38"/>
      <c r="C84" s="39"/>
      <c r="D84" s="39"/>
      <c r="E84" s="39"/>
      <c r="F84" s="39"/>
      <c r="G84" s="40"/>
      <c r="H84" s="128">
        <f>_xlfn.XLOOKUP($A$83,'FC1 Data Set'!$B:$B,'FC1 Data Set'!I:I)</f>
        <v>44832.001694999999</v>
      </c>
      <c r="I84" s="128">
        <f>_xlfn.XLOOKUP($A$83,'FC1 Data Set'!$B:$B,'FC1 Data Set'!J:J)</f>
        <v>36165.984839999997</v>
      </c>
      <c r="J84" s="128">
        <f>_xlfn.XLOOKUP($A$83,'FC1 Data Set'!$B:$B,'FC1 Data Set'!K:K)</f>
        <v>36755.656860000003</v>
      </c>
      <c r="K84" s="128">
        <f>_xlfn.XLOOKUP($A$83,'FC1 Data Set'!$B:$B,'FC1 Data Set'!L:L)</f>
        <v>35097.113824999993</v>
      </c>
      <c r="L84" s="128">
        <f>_xlfn.XLOOKUP($A$83,'FC1 Data Set'!$B:$B,'FC1 Data Set'!M:M)</f>
        <v>34332.002039999999</v>
      </c>
      <c r="M84" s="128">
        <f>_xlfn.XLOOKUP($A$83,'FC1 Data Set'!$B:$B,'FC1 Data Set'!N:N)</f>
        <v>35772.42899</v>
      </c>
      <c r="N84" s="128">
        <f>_xlfn.XLOOKUP($A$83,'FC1 Data Set'!$B:$B,'FC1 Data Set'!O:O)</f>
        <v>38606.541059999996</v>
      </c>
      <c r="O84" s="128">
        <f>_xlfn.XLOOKUP($A$83,'FC1 Data Set'!$B:$B,'FC1 Data Set'!P:P)</f>
        <v>37182.884620000004</v>
      </c>
      <c r="P84" s="128">
        <f>_xlfn.XLOOKUP($A$83,'FC1 Data Set'!$B:$B,'FC1 Data Set'!Q:Q)</f>
        <v>37096.340394999992</v>
      </c>
      <c r="Q84" s="128">
        <f>_xlfn.XLOOKUP($A$83,'FC1 Data Set'!$B:$B,'FC1 Data Set'!R:R)</f>
        <v>36557.657235000006</v>
      </c>
      <c r="R84" s="128">
        <f>_xlfn.XLOOKUP($A$83,'FC1 Data Set'!$B:$B,'FC1 Data Set'!S:S)</f>
        <v>36162.175625000003</v>
      </c>
      <c r="S84" s="128">
        <f>_xlfn.XLOOKUP($A$83,'FC1 Data Set'!$B:$B,'FC1 Data Set'!T:T)</f>
        <v>40180.47359999999</v>
      </c>
      <c r="T84" s="128">
        <f>_xlfn.XLOOKUP($A$83,'FC1 Data Set'!$B:$B,'FC1 Data Set'!U:U)</f>
        <v>35713.468990000008</v>
      </c>
      <c r="U84" s="128">
        <f>_xlfn.XLOOKUP($A$83,'FC1 Data Set'!$B:$B,'FC1 Data Set'!V:V)</f>
        <v>29750.818084999999</v>
      </c>
      <c r="V84" s="128">
        <f>_xlfn.XLOOKUP($A$83,'FC1 Data Set'!$B:$B,'FC1 Data Set'!W:W)</f>
        <v>28373.715269999997</v>
      </c>
      <c r="W84" s="128">
        <f>_xlfn.XLOOKUP($A$83,'FC1 Data Set'!$B:$B,'FC1 Data Set'!X:X)</f>
        <v>33088.944175000004</v>
      </c>
      <c r="X84" s="128">
        <f>_xlfn.XLOOKUP($A$83,'FC1 Data Set'!$B:$B,'FC1 Data Set'!Y:Y)</f>
        <v>37649.662355</v>
      </c>
      <c r="Y84" s="128">
        <f>_xlfn.XLOOKUP($A$83,'FC1 Data Set'!$B:$B,'FC1 Data Set'!Z:Z)</f>
        <v>38243.936125</v>
      </c>
      <c r="Z84" s="128">
        <f>_xlfn.XLOOKUP($A$83,'FC1 Data Set'!$B:$B,'FC1 Data Set'!AA:AA)</f>
        <v>32731.107115000003</v>
      </c>
      <c r="AA84" s="128">
        <f>_xlfn.XLOOKUP($A$83,'FC1 Data Set'!$B:$B,'FC1 Data Set'!AB:AB)</f>
        <v>31284.742930000004</v>
      </c>
      <c r="AB84" s="128">
        <f>_xlfn.XLOOKUP($A$83,'FC1 Data Set'!$B:$B,'FC1 Data Set'!AC:AC)</f>
        <v>33204.276120000002</v>
      </c>
      <c r="AC84" s="128">
        <f>_xlfn.XLOOKUP($A$83,'FC1 Data Set'!$B:$B,'FC1 Data Set'!AD:AD)</f>
        <v>33327.548450000002</v>
      </c>
      <c r="AD84" s="128">
        <f>_xlfn.XLOOKUP($A$83,'FC1 Data Set'!$B:$B,'FC1 Data Set'!AE:AE)</f>
        <v>33845.140330000002</v>
      </c>
      <c r="AE84" s="128">
        <f>_xlfn.XLOOKUP($A$83,'FC1 Data Set'!$B:$B,'FC1 Data Set'!AF:AF)</f>
        <v>34503.217600000004</v>
      </c>
      <c r="AF84" s="128">
        <f>_xlfn.XLOOKUP($A$83,'FC1 Data Set'!$B:$B,'FC1 Data Set'!AG:AG)</f>
        <v>40289.719965000004</v>
      </c>
      <c r="AG84" s="128">
        <f>_xlfn.XLOOKUP($A$83,'FC1 Data Set'!$B:$B,'FC1 Data Set'!AH:AH)</f>
        <v>32766.692399999996</v>
      </c>
      <c r="AH84" s="128">
        <f>AVERAGE(H84:AG84)</f>
        <v>35519.778872884614</v>
      </c>
    </row>
  </sheetData>
  <pageMargins left="0.7" right="0.7" top="0.75" bottom="0.75" header="0.3" footer="0.3"/>
  <pageSetup paperSize="9" orientation="portrait" verticalDpi="0" r:id="rId1"/>
  <headerFooter>
    <oddFooter>&amp;C_x000D_&amp;1#&amp;"Noto IKEA Latin"&amp;8&amp;K5A5A5A Internal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6:AH102"/>
  <sheetViews>
    <sheetView showGridLines="0" topLeftCell="A19" zoomScale="75" zoomScaleNormal="75" workbookViewId="0">
      <selection activeCell="AH73" sqref="AH73"/>
    </sheetView>
  </sheetViews>
  <sheetFormatPr defaultRowHeight="15" x14ac:dyDescent="0.25"/>
  <cols>
    <col min="1" max="1" width="52.28515625" bestFit="1" customWidth="1"/>
    <col min="2" max="34" width="9.5703125" customWidth="1"/>
  </cols>
  <sheetData>
    <row r="16" spans="1:34" x14ac:dyDescent="0.25">
      <c r="A16" s="14"/>
      <c r="B16" s="9" t="str">
        <f>Overview_Report!C5</f>
        <v>202631</v>
      </c>
      <c r="C16" s="9" t="str">
        <f>Overview_Report!D5</f>
        <v>202632</v>
      </c>
      <c r="D16" s="9" t="str">
        <f>Overview_Report!E5</f>
        <v>202633</v>
      </c>
      <c r="E16" s="9" t="str">
        <f>Overview_Report!F5</f>
        <v>202634</v>
      </c>
      <c r="F16" s="9" t="str">
        <f>Overview_Report!G5</f>
        <v>202635</v>
      </c>
      <c r="G16" s="9" t="str">
        <f>Overview_Report!H5</f>
        <v>202636</v>
      </c>
      <c r="H16" s="9" t="str">
        <f>Overview_Report!I5</f>
        <v>202637</v>
      </c>
      <c r="I16" s="9" t="str">
        <f>Overview_Report!J5</f>
        <v>202638</v>
      </c>
      <c r="J16" s="9" t="str">
        <f>Overview_Report!K5</f>
        <v>202639</v>
      </c>
      <c r="K16" s="9" t="str">
        <f>Overview_Report!L5</f>
        <v>202640</v>
      </c>
      <c r="L16" s="9" t="str">
        <f>Overview_Report!M5</f>
        <v>202641</v>
      </c>
      <c r="M16" s="9" t="str">
        <f>Overview_Report!N5</f>
        <v>202642</v>
      </c>
      <c r="N16" s="9" t="str">
        <f>Overview_Report!O5</f>
        <v>202643</v>
      </c>
      <c r="O16" s="9" t="str">
        <f>Overview_Report!P5</f>
        <v>202644</v>
      </c>
      <c r="P16" s="9" t="str">
        <f>Overview_Report!Q5</f>
        <v>202645</v>
      </c>
      <c r="Q16" s="9" t="str">
        <f>Overview_Report!R5</f>
        <v>202646</v>
      </c>
      <c r="R16" s="9" t="str">
        <f>Overview_Report!S5</f>
        <v>202647</v>
      </c>
      <c r="S16" s="9" t="str">
        <f>Overview_Report!T5</f>
        <v>202648</v>
      </c>
      <c r="T16" s="9" t="str">
        <f>Overview_Report!U5</f>
        <v>202649</v>
      </c>
      <c r="U16" s="9" t="str">
        <f>Overview_Report!V5</f>
        <v>202650</v>
      </c>
      <c r="V16" s="9" t="str">
        <f>Overview_Report!W5</f>
        <v>202651</v>
      </c>
      <c r="W16" s="9" t="str">
        <f>Overview_Report!X5</f>
        <v>202652</v>
      </c>
      <c r="X16" s="9" t="str">
        <f>Overview_Report!Y5</f>
        <v>202653</v>
      </c>
      <c r="Y16" s="9" t="str">
        <f>Overview_Report!Z5</f>
        <v>202701</v>
      </c>
      <c r="Z16" s="9" t="str">
        <f>Overview_Report!AA5</f>
        <v>202702</v>
      </c>
      <c r="AA16" s="9" t="str">
        <f>Overview_Report!AB5</f>
        <v>202703</v>
      </c>
      <c r="AB16" s="9" t="str">
        <f>Overview_Report!AC5</f>
        <v>202704</v>
      </c>
      <c r="AC16" s="9" t="str">
        <f>Overview_Report!AD5</f>
        <v>202705</v>
      </c>
      <c r="AD16" s="9" t="str">
        <f>Overview_Report!AE5</f>
        <v>202706</v>
      </c>
      <c r="AE16" s="9" t="str">
        <f>Overview_Report!AF5</f>
        <v>202707</v>
      </c>
      <c r="AF16" s="9" t="str">
        <f>Overview_Report!AG5</f>
        <v>202708</v>
      </c>
      <c r="AG16" s="9" t="str">
        <f>Overview_Report!AH5</f>
        <v>202709</v>
      </c>
      <c r="AH16" s="9" t="s">
        <v>53</v>
      </c>
    </row>
    <row r="17" spans="1:34" x14ac:dyDescent="0.25">
      <c r="A17" s="60" t="s">
        <v>2</v>
      </c>
      <c r="B17" s="27">
        <f>_xlfn.XLOOKUP($A17,'Act Data Set'!$B:$B,'Act Data Set'!C:C)</f>
        <v>17464.036</v>
      </c>
      <c r="C17" s="27">
        <f>_xlfn.XLOOKUP($A17,'Act Data Set'!$B:$B,'Act Data Set'!D:D)</f>
        <v>9095.2099999999991</v>
      </c>
      <c r="D17" s="27">
        <f>_xlfn.XLOOKUP($A17,'Act Data Set'!$B:$B,'Act Data Set'!E:E)</f>
        <v>10503.363999999998</v>
      </c>
      <c r="E17" s="27">
        <f>_xlfn.XLOOKUP($A17,'Act Data Set'!$B:$B,'Act Data Set'!F:F)</f>
        <v>17607.023000000001</v>
      </c>
      <c r="F17" s="27">
        <f>_xlfn.XLOOKUP($A17,'Act Data Set'!$B:$B,'Act Data Set'!G:G)</f>
        <v>14166.209000000001</v>
      </c>
      <c r="G17" s="27">
        <f>_xlfn.XLOOKUP($A17,'Act Data Set'!$B:$B,'Act Data Set'!H:H)</f>
        <v>11395.806</v>
      </c>
      <c r="H17" s="32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27">
        <f>AVERAGE(B17:G17)</f>
        <v>13371.941333333334</v>
      </c>
    </row>
    <row r="18" spans="1:34" x14ac:dyDescent="0.25">
      <c r="A18" s="49" t="s">
        <v>10</v>
      </c>
      <c r="B18" s="50">
        <f>_xlfn.XLOOKUP($A18,'Act Data Set'!$B:$B,'Act Data Set'!C:C)</f>
        <v>13934.719000000001</v>
      </c>
      <c r="C18" s="50">
        <f>_xlfn.XLOOKUP($A18,'Act Data Set'!$B:$B,'Act Data Set'!D:D)</f>
        <v>13847.957000000002</v>
      </c>
      <c r="D18" s="50">
        <f>_xlfn.XLOOKUP($A18,'Act Data Set'!$B:$B,'Act Data Set'!E:E)</f>
        <v>12072.660000000002</v>
      </c>
      <c r="E18" s="50">
        <f>_xlfn.XLOOKUP($A18,'Act Data Set'!$B:$B,'Act Data Set'!F:F)</f>
        <v>13101.771000000001</v>
      </c>
      <c r="F18" s="50">
        <f>_xlfn.XLOOKUP($A18,'Act Data Set'!$B:$B,'Act Data Set'!G:G)</f>
        <v>14824.096</v>
      </c>
      <c r="G18" s="50">
        <f>_xlfn.XLOOKUP($A18,'Act Data Set'!$B:$B,'Act Data Set'!H:H)</f>
        <v>14132.558999999999</v>
      </c>
      <c r="H18" s="34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50">
        <f>AVERAGE(B18:G18)</f>
        <v>13652.293666666666</v>
      </c>
    </row>
    <row r="19" spans="1:34" x14ac:dyDescent="0.25">
      <c r="A19" s="57" t="s">
        <v>24</v>
      </c>
      <c r="B19" s="58">
        <f>_xlfn.XLOOKUP($A19,'Act Data Set'!$B:$B,'Act Data Set'!C:C)</f>
        <v>148897</v>
      </c>
      <c r="C19" s="58">
        <f>_xlfn.XLOOKUP($A19,'Act Data Set'!$B:$B,'Act Data Set'!D:D)</f>
        <v>143924</v>
      </c>
      <c r="D19" s="58">
        <f>_xlfn.XLOOKUP($A19,'Act Data Set'!$B:$B,'Act Data Set'!E:E)</f>
        <v>142737</v>
      </c>
      <c r="E19" s="58">
        <f>_xlfn.XLOOKUP($A19,'Act Data Set'!$B:$B,'Act Data Set'!F:F)</f>
        <v>147818</v>
      </c>
      <c r="F19" s="58">
        <f>_xlfn.XLOOKUP($A19,'Act Data Set'!$B:$B,'Act Data Set'!G:G)</f>
        <v>145588</v>
      </c>
      <c r="G19" s="58">
        <f>_xlfn.XLOOKUP($A19,'Act Data Set'!$B:$B,'Act Data Set'!H:H)</f>
        <v>143845</v>
      </c>
      <c r="H19" s="34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58">
        <f>AVERAGE(B19:G19)</f>
        <v>145468.16666666666</v>
      </c>
    </row>
    <row r="20" spans="1:34" x14ac:dyDescent="0.25">
      <c r="A20" s="15" t="str">
        <f>A17&amp;" Forecast"</f>
        <v>Total DC In to Stock (Queue Corrected) Forecast</v>
      </c>
      <c r="B20" s="38"/>
      <c r="C20" s="39"/>
      <c r="D20" s="39"/>
      <c r="E20" s="39"/>
      <c r="F20" s="39"/>
      <c r="G20" s="40"/>
      <c r="H20" s="15">
        <f>_xlfn.XLOOKUP($A17,'FC1 Data Set'!$B:$B,'FC1 Data Set'!I:I)</f>
        <v>10691.360499999997</v>
      </c>
      <c r="I20" s="15">
        <f>_xlfn.XLOOKUP($A17,'FC1 Data Set'!$B:$B,'FC1 Data Set'!J:J)</f>
        <v>12591.411881412061</v>
      </c>
      <c r="J20" s="15">
        <f>_xlfn.XLOOKUP($A17,'FC1 Data Set'!$B:$B,'FC1 Data Set'!K:K)</f>
        <v>9816.422723261705</v>
      </c>
      <c r="K20" s="15">
        <f>_xlfn.XLOOKUP($A17,'FC1 Data Set'!$B:$B,'FC1 Data Set'!L:L)</f>
        <v>11558.830982508942</v>
      </c>
      <c r="L20" s="15">
        <f>_xlfn.XLOOKUP($A17,'FC1 Data Set'!$B:$B,'FC1 Data Set'!M:M)</f>
        <v>12722.086804289949</v>
      </c>
      <c r="M20" s="15">
        <f>_xlfn.XLOOKUP($A17,'FC1 Data Set'!$B:$B,'FC1 Data Set'!N:N)</f>
        <v>12452.173212222573</v>
      </c>
      <c r="N20" s="15">
        <f>_xlfn.XLOOKUP($A17,'FC1 Data Set'!$B:$B,'FC1 Data Set'!O:O)</f>
        <v>10719.757460599054</v>
      </c>
      <c r="O20" s="15">
        <f>_xlfn.XLOOKUP($A17,'FC1 Data Set'!$B:$B,'FC1 Data Set'!P:P)</f>
        <v>13246.090074756803</v>
      </c>
      <c r="P20" s="15">
        <f>_xlfn.XLOOKUP($A17,'FC1 Data Set'!$B:$B,'FC1 Data Set'!Q:Q)</f>
        <v>11270.433384224656</v>
      </c>
      <c r="Q20" s="15">
        <f>_xlfn.XLOOKUP($A17,'FC1 Data Set'!$B:$B,'FC1 Data Set'!R:R)</f>
        <v>13347.992601662299</v>
      </c>
      <c r="R20" s="15">
        <f>_xlfn.XLOOKUP($A17,'FC1 Data Set'!$B:$B,'FC1 Data Set'!S:S)</f>
        <v>9557.7071572705609</v>
      </c>
      <c r="S20" s="15">
        <f>_xlfn.XLOOKUP($A17,'FC1 Data Set'!$B:$B,'FC1 Data Set'!T:T)</f>
        <v>9005.6084723712429</v>
      </c>
      <c r="T20" s="15">
        <f>_xlfn.XLOOKUP($A17,'FC1 Data Set'!$B:$B,'FC1 Data Set'!U:U)</f>
        <v>10459.950423392678</v>
      </c>
      <c r="U20" s="15">
        <f>_xlfn.XLOOKUP($A17,'FC1 Data Set'!$B:$B,'FC1 Data Set'!V:V)</f>
        <v>12415.626405312536</v>
      </c>
      <c r="V20" s="15">
        <f>_xlfn.XLOOKUP($A17,'FC1 Data Set'!$B:$B,'FC1 Data Set'!W:W)</f>
        <v>12021.141149145486</v>
      </c>
      <c r="W20" s="15">
        <f>_xlfn.XLOOKUP($A17,'FC1 Data Set'!$B:$B,'FC1 Data Set'!X:X)</f>
        <v>12413.763077752263</v>
      </c>
      <c r="X20" s="15">
        <f>_xlfn.XLOOKUP($A17,'FC1 Data Set'!$B:$B,'FC1 Data Set'!Y:Y)</f>
        <v>12822.596300086117</v>
      </c>
      <c r="Y20" s="15">
        <f>_xlfn.XLOOKUP($A17,'FC1 Data Set'!$B:$B,'FC1 Data Set'!Z:Z)</f>
        <v>13275.147704868352</v>
      </c>
      <c r="Z20" s="15">
        <f>_xlfn.XLOOKUP($A17,'FC1 Data Set'!$B:$B,'FC1 Data Set'!AA:AA)</f>
        <v>11291.12443474803</v>
      </c>
      <c r="AA20" s="15">
        <f>_xlfn.XLOOKUP($A17,'FC1 Data Set'!$B:$B,'FC1 Data Set'!AB:AB)</f>
        <v>10589.557039204816</v>
      </c>
      <c r="AB20" s="15">
        <f>_xlfn.XLOOKUP($A17,'FC1 Data Set'!$B:$B,'FC1 Data Set'!AC:AC)</f>
        <v>11731.237255467207</v>
      </c>
      <c r="AC20" s="15">
        <f>_xlfn.XLOOKUP($A17,'FC1 Data Set'!$B:$B,'FC1 Data Set'!AD:AD)</f>
        <v>14005.410121438706</v>
      </c>
      <c r="AD20" s="15">
        <f>_xlfn.XLOOKUP($A17,'FC1 Data Set'!$B:$B,'FC1 Data Set'!AE:AE)</f>
        <v>13519.746505772275</v>
      </c>
      <c r="AE20" s="15">
        <f>_xlfn.XLOOKUP($A17,'FC1 Data Set'!$B:$B,'FC1 Data Set'!AF:AF)</f>
        <v>12613.55309153901</v>
      </c>
      <c r="AF20" s="15">
        <f>_xlfn.XLOOKUP($A17,'FC1 Data Set'!$B:$B,'FC1 Data Set'!AG:AG)</f>
        <v>13414.413512573394</v>
      </c>
      <c r="AG20" s="15">
        <f>_xlfn.XLOOKUP($A17,'FC1 Data Set'!$B:$B,'FC1 Data Set'!AH:AH)</f>
        <v>12304.597055613463</v>
      </c>
      <c r="AH20" s="15">
        <f>AVERAGE(H20:AG20)</f>
        <v>11917.605358903624</v>
      </c>
    </row>
    <row r="21" spans="1:34" x14ac:dyDescent="0.25">
      <c r="A21" s="29" t="str">
        <f t="shared" ref="A21:A22" si="0">A18&amp;" Forecast"</f>
        <v>Total DC Out from Stock Forecast</v>
      </c>
      <c r="B21" s="41"/>
      <c r="C21" s="42"/>
      <c r="D21" s="42"/>
      <c r="E21" s="42"/>
      <c r="F21" s="42"/>
      <c r="G21" s="43"/>
      <c r="H21" s="29">
        <f>_xlfn.XLOOKUP($A18,'FC1 Data Set'!$B:$B,'FC1 Data Set'!I:I)</f>
        <v>16906.350000000002</v>
      </c>
      <c r="I21" s="29">
        <f>_xlfn.XLOOKUP($A18,'FC1 Data Set'!$B:$B,'FC1 Data Set'!J:J)</f>
        <v>14087.160000000002</v>
      </c>
      <c r="J21" s="29">
        <f>_xlfn.XLOOKUP($A18,'FC1 Data Set'!$B:$B,'FC1 Data Set'!K:K)</f>
        <v>13201.800000000003</v>
      </c>
      <c r="K21" s="29">
        <f>_xlfn.XLOOKUP($A18,'FC1 Data Set'!$B:$B,'FC1 Data Set'!L:L)</f>
        <v>13292.889999999998</v>
      </c>
      <c r="L21" s="29">
        <f>_xlfn.XLOOKUP($A18,'FC1 Data Set'!$B:$B,'FC1 Data Set'!M:M)</f>
        <v>13156.079999999998</v>
      </c>
      <c r="M21" s="29">
        <f>_xlfn.XLOOKUP($A18,'FC1 Data Set'!$B:$B,'FC1 Data Set'!N:N)</f>
        <v>13079.739999999998</v>
      </c>
      <c r="N21" s="29">
        <f>_xlfn.XLOOKUP($A18,'FC1 Data Set'!$B:$B,'FC1 Data Set'!O:O)</f>
        <v>14208.36</v>
      </c>
      <c r="O21" s="29">
        <f>_xlfn.XLOOKUP($A18,'FC1 Data Set'!$B:$B,'FC1 Data Set'!P:P)</f>
        <v>13834.520000000002</v>
      </c>
      <c r="P21" s="29">
        <f>_xlfn.XLOOKUP($A18,'FC1 Data Set'!$B:$B,'FC1 Data Set'!Q:Q)</f>
        <v>13612.67</v>
      </c>
      <c r="Q21" s="29">
        <f>_xlfn.XLOOKUP($A18,'FC1 Data Set'!$B:$B,'FC1 Data Set'!R:R)</f>
        <v>13336.11</v>
      </c>
      <c r="R21" s="29">
        <f>_xlfn.XLOOKUP($A18,'FC1 Data Set'!$B:$B,'FC1 Data Set'!S:S)</f>
        <v>13399.449999999999</v>
      </c>
      <c r="S21" s="29">
        <f>_xlfn.XLOOKUP($A18,'FC1 Data Set'!$B:$B,'FC1 Data Set'!T:T)</f>
        <v>15513.6</v>
      </c>
      <c r="T21" s="29">
        <f>_xlfn.XLOOKUP($A18,'FC1 Data Set'!$B:$B,'FC1 Data Set'!U:U)</f>
        <v>13394.54</v>
      </c>
      <c r="U21" s="29">
        <f>_xlfn.XLOOKUP($A18,'FC1 Data Set'!$B:$B,'FC1 Data Set'!V:V)</f>
        <v>10962.609999999999</v>
      </c>
      <c r="V21" s="29">
        <f>_xlfn.XLOOKUP($A18,'FC1 Data Set'!$B:$B,'FC1 Data Set'!W:W)</f>
        <v>10137.419999999998</v>
      </c>
      <c r="W21" s="29">
        <f>_xlfn.XLOOKUP($A18,'FC1 Data Set'!$B:$B,'FC1 Data Set'!X:X)</f>
        <v>11772.950000000003</v>
      </c>
      <c r="X21" s="29">
        <f>_xlfn.XLOOKUP($A18,'FC1 Data Set'!$B:$B,'FC1 Data Set'!Y:Y)</f>
        <v>14316.430000000002</v>
      </c>
      <c r="Y21" s="29">
        <f>_xlfn.XLOOKUP($A18,'FC1 Data Set'!$B:$B,'FC1 Data Set'!Z:Z)</f>
        <v>14715.650000000003</v>
      </c>
      <c r="Z21" s="29">
        <f>_xlfn.XLOOKUP($A18,'FC1 Data Set'!$B:$B,'FC1 Data Set'!AA:AA)</f>
        <v>14092.19</v>
      </c>
      <c r="AA21" s="29">
        <f>_xlfn.XLOOKUP($A18,'FC1 Data Set'!$B:$B,'FC1 Data Set'!AB:AB)</f>
        <v>12491.780000000002</v>
      </c>
      <c r="AB21" s="29">
        <f>_xlfn.XLOOKUP($A18,'FC1 Data Set'!$B:$B,'FC1 Data Set'!AC:AC)</f>
        <v>12639.119999999999</v>
      </c>
      <c r="AC21" s="29">
        <f>_xlfn.XLOOKUP($A18,'FC1 Data Set'!$B:$B,'FC1 Data Set'!AD:AD)</f>
        <v>12462.1</v>
      </c>
      <c r="AD21" s="29">
        <f>_xlfn.XLOOKUP($A18,'FC1 Data Set'!$B:$B,'FC1 Data Set'!AE:AE)</f>
        <v>12624.98</v>
      </c>
      <c r="AE21" s="29">
        <f>_xlfn.XLOOKUP($A18,'FC1 Data Set'!$B:$B,'FC1 Data Set'!AF:AF)</f>
        <v>12910.399999999998</v>
      </c>
      <c r="AF21" s="29">
        <f>_xlfn.XLOOKUP($A18,'FC1 Data Set'!$B:$B,'FC1 Data Set'!AG:AG)</f>
        <v>15645.09</v>
      </c>
      <c r="AG21" s="29">
        <f>_xlfn.XLOOKUP($A18,'FC1 Data Set'!$B:$B,'FC1 Data Set'!AH:AH)</f>
        <v>12330</v>
      </c>
      <c r="AH21" s="29">
        <f>AVERAGE(H21:AG21)</f>
        <v>13389.38423076923</v>
      </c>
    </row>
    <row r="22" spans="1:34" x14ac:dyDescent="0.25">
      <c r="A22" s="59" t="str">
        <f t="shared" si="0"/>
        <v>Stock incl. Queue Forecast</v>
      </c>
      <c r="B22" s="41"/>
      <c r="C22" s="42"/>
      <c r="D22" s="42"/>
      <c r="E22" s="42"/>
      <c r="F22" s="42"/>
      <c r="G22" s="43"/>
      <c r="H22" s="59">
        <f>_xlfn.XLOOKUP($A19,'FC1 Data Set'!$B:$B,'FC1 Data Set'!I:I)</f>
        <v>137630.01049999997</v>
      </c>
      <c r="I22" s="59">
        <f>_xlfn.XLOOKUP($A19,'FC1 Data Set'!$B:$B,'FC1 Data Set'!J:J)</f>
        <v>136134.26238141203</v>
      </c>
      <c r="J22" s="59">
        <f>_xlfn.XLOOKUP($A19,'FC1 Data Set'!$B:$B,'FC1 Data Set'!K:K)</f>
        <v>132748.88510467374</v>
      </c>
      <c r="K22" s="59">
        <f>_xlfn.XLOOKUP($A19,'FC1 Data Set'!$B:$B,'FC1 Data Set'!L:L)</f>
        <v>131014.82608718269</v>
      </c>
      <c r="L22" s="59">
        <f>_xlfn.XLOOKUP($A19,'FC1 Data Set'!$B:$B,'FC1 Data Set'!M:M)</f>
        <v>130580.83289147263</v>
      </c>
      <c r="M22" s="59">
        <f>_xlfn.XLOOKUP($A19,'FC1 Data Set'!$B:$B,'FC1 Data Set'!N:N)</f>
        <v>129953.2661036952</v>
      </c>
      <c r="N22" s="59">
        <f>_xlfn.XLOOKUP($A19,'FC1 Data Set'!$B:$B,'FC1 Data Set'!O:O)</f>
        <v>126464.66356429426</v>
      </c>
      <c r="O22" s="59">
        <f>_xlfn.XLOOKUP($A19,'FC1 Data Set'!$B:$B,'FC1 Data Set'!P:P)</f>
        <v>125876.23363905106</v>
      </c>
      <c r="P22" s="59">
        <f>_xlfn.XLOOKUP($A19,'FC1 Data Set'!$B:$B,'FC1 Data Set'!Q:Q)</f>
        <v>123533.99702327572</v>
      </c>
      <c r="Q22" s="59">
        <f>_xlfn.XLOOKUP($A19,'FC1 Data Set'!$B:$B,'FC1 Data Set'!R:R)</f>
        <v>123545.87962493801</v>
      </c>
      <c r="R22" s="59">
        <f>_xlfn.XLOOKUP($A19,'FC1 Data Set'!$B:$B,'FC1 Data Set'!S:S)</f>
        <v>119704.13678220857</v>
      </c>
      <c r="S22" s="59">
        <f>_xlfn.XLOOKUP($A19,'FC1 Data Set'!$B:$B,'FC1 Data Set'!T:T)</f>
        <v>113196.14525457981</v>
      </c>
      <c r="T22" s="59">
        <f>_xlfn.XLOOKUP($A19,'FC1 Data Set'!$B:$B,'FC1 Data Set'!U:U)</f>
        <v>110261.5556779725</v>
      </c>
      <c r="U22" s="59">
        <f>_xlfn.XLOOKUP($A19,'FC1 Data Set'!$B:$B,'FC1 Data Set'!V:V)</f>
        <v>111714.57208328503</v>
      </c>
      <c r="V22" s="59">
        <f>_xlfn.XLOOKUP($A19,'FC1 Data Set'!$B:$B,'FC1 Data Set'!W:W)</f>
        <v>113598.29323243051</v>
      </c>
      <c r="W22" s="59">
        <f>_xlfn.XLOOKUP($A19,'FC1 Data Set'!$B:$B,'FC1 Data Set'!X:X)</f>
        <v>114239.10631018277</v>
      </c>
      <c r="X22" s="59">
        <f>_xlfn.XLOOKUP($A19,'FC1 Data Set'!$B:$B,'FC1 Data Set'!Y:Y)</f>
        <v>112745.2726102689</v>
      </c>
      <c r="Y22" s="59">
        <f>_xlfn.XLOOKUP($A19,'FC1 Data Set'!$B:$B,'FC1 Data Set'!Z:Z)</f>
        <v>111304.77031513726</v>
      </c>
      <c r="Z22" s="59">
        <f>_xlfn.XLOOKUP($A19,'FC1 Data Set'!$B:$B,'FC1 Data Set'!AA:AA)</f>
        <v>108503.70474988528</v>
      </c>
      <c r="AA22" s="59">
        <f>_xlfn.XLOOKUP($A19,'FC1 Data Set'!$B:$B,'FC1 Data Set'!AB:AB)</f>
        <v>106601.48178909009</v>
      </c>
      <c r="AB22" s="59">
        <f>_xlfn.XLOOKUP($A19,'FC1 Data Set'!$B:$B,'FC1 Data Set'!AC:AC)</f>
        <v>105693.59904455731</v>
      </c>
      <c r="AC22" s="59">
        <f>_xlfn.XLOOKUP($A19,'FC1 Data Set'!$B:$B,'FC1 Data Set'!AD:AD)</f>
        <v>107236.90916599601</v>
      </c>
      <c r="AD22" s="59">
        <f>_xlfn.XLOOKUP($A19,'FC1 Data Set'!$B:$B,'FC1 Data Set'!AE:AE)</f>
        <v>108131.67567176829</v>
      </c>
      <c r="AE22" s="59">
        <f>_xlfn.XLOOKUP($A19,'FC1 Data Set'!$B:$B,'FC1 Data Set'!AF:AF)</f>
        <v>107834.82876330731</v>
      </c>
      <c r="AF22" s="59">
        <f>_xlfn.XLOOKUP($A19,'FC1 Data Set'!$B:$B,'FC1 Data Set'!AG:AG)</f>
        <v>105604.1522758807</v>
      </c>
      <c r="AG22" s="59">
        <f>_xlfn.XLOOKUP($A19,'FC1 Data Set'!$B:$B,'FC1 Data Set'!AH:AH)</f>
        <v>105578.74933149417</v>
      </c>
      <c r="AH22" s="59">
        <f>AVERAGE(H22:AG22)</f>
        <v>117670.45422992462</v>
      </c>
    </row>
    <row r="41" spans="1:34" x14ac:dyDescent="0.25">
      <c r="A41" s="14"/>
      <c r="B41" s="9" t="str">
        <f t="shared" ref="B41:AG41" si="1">B16</f>
        <v>202631</v>
      </c>
      <c r="C41" s="9" t="str">
        <f t="shared" si="1"/>
        <v>202632</v>
      </c>
      <c r="D41" s="9" t="str">
        <f t="shared" si="1"/>
        <v>202633</v>
      </c>
      <c r="E41" s="9" t="str">
        <f t="shared" si="1"/>
        <v>202634</v>
      </c>
      <c r="F41" s="9" t="str">
        <f t="shared" si="1"/>
        <v>202635</v>
      </c>
      <c r="G41" s="9" t="str">
        <f t="shared" si="1"/>
        <v>202636</v>
      </c>
      <c r="H41" s="9" t="str">
        <f t="shared" si="1"/>
        <v>202637</v>
      </c>
      <c r="I41" s="9" t="str">
        <f t="shared" si="1"/>
        <v>202638</v>
      </c>
      <c r="J41" s="9" t="str">
        <f t="shared" si="1"/>
        <v>202639</v>
      </c>
      <c r="K41" s="9" t="str">
        <f t="shared" si="1"/>
        <v>202640</v>
      </c>
      <c r="L41" s="9" t="str">
        <f t="shared" si="1"/>
        <v>202641</v>
      </c>
      <c r="M41" s="9" t="str">
        <f t="shared" si="1"/>
        <v>202642</v>
      </c>
      <c r="N41" s="9" t="str">
        <f t="shared" si="1"/>
        <v>202643</v>
      </c>
      <c r="O41" s="9" t="str">
        <f t="shared" si="1"/>
        <v>202644</v>
      </c>
      <c r="P41" s="9" t="str">
        <f t="shared" si="1"/>
        <v>202645</v>
      </c>
      <c r="Q41" s="9" t="str">
        <f t="shared" si="1"/>
        <v>202646</v>
      </c>
      <c r="R41" s="9" t="str">
        <f t="shared" si="1"/>
        <v>202647</v>
      </c>
      <c r="S41" s="9" t="str">
        <f t="shared" si="1"/>
        <v>202648</v>
      </c>
      <c r="T41" s="9" t="str">
        <f t="shared" si="1"/>
        <v>202649</v>
      </c>
      <c r="U41" s="9" t="str">
        <f t="shared" si="1"/>
        <v>202650</v>
      </c>
      <c r="V41" s="9" t="str">
        <f t="shared" si="1"/>
        <v>202651</v>
      </c>
      <c r="W41" s="9" t="str">
        <f t="shared" si="1"/>
        <v>202652</v>
      </c>
      <c r="X41" s="9" t="str">
        <f t="shared" si="1"/>
        <v>202653</v>
      </c>
      <c r="Y41" s="9" t="str">
        <f t="shared" si="1"/>
        <v>202701</v>
      </c>
      <c r="Z41" s="9" t="str">
        <f t="shared" si="1"/>
        <v>202702</v>
      </c>
      <c r="AA41" s="9" t="str">
        <f t="shared" si="1"/>
        <v>202703</v>
      </c>
      <c r="AB41" s="9" t="str">
        <f t="shared" si="1"/>
        <v>202704</v>
      </c>
      <c r="AC41" s="9" t="str">
        <f t="shared" si="1"/>
        <v>202705</v>
      </c>
      <c r="AD41" s="9" t="str">
        <f t="shared" si="1"/>
        <v>202706</v>
      </c>
      <c r="AE41" s="9" t="str">
        <f t="shared" si="1"/>
        <v>202707</v>
      </c>
      <c r="AF41" s="9" t="str">
        <f t="shared" si="1"/>
        <v>202708</v>
      </c>
      <c r="AG41" s="9" t="str">
        <f t="shared" si="1"/>
        <v>202709</v>
      </c>
      <c r="AH41" s="9" t="s">
        <v>53</v>
      </c>
    </row>
    <row r="42" spans="1:34" x14ac:dyDescent="0.25">
      <c r="A42" s="65" t="s">
        <v>21</v>
      </c>
      <c r="B42" s="66">
        <f>_xlfn.XLOOKUP($A42,'Act Data Set'!$B:$B,'Act Data Set'!C:C)</f>
        <v>44895.250000000007</v>
      </c>
      <c r="C42" s="66">
        <f>_xlfn.XLOOKUP($A42,'Act Data Set'!$B:$B,'Act Data Set'!D:D)</f>
        <v>38654.864000000001</v>
      </c>
      <c r="D42" s="66">
        <f>_xlfn.XLOOKUP($A42,'Act Data Set'!$B:$B,'Act Data Set'!E:E)</f>
        <v>39220.243000000002</v>
      </c>
      <c r="E42" s="66">
        <f>_xlfn.XLOOKUP($A42,'Act Data Set'!$B:$B,'Act Data Set'!F:F)</f>
        <v>45977.423999999999</v>
      </c>
      <c r="F42" s="66">
        <f>_xlfn.XLOOKUP($A42,'Act Data Set'!$B:$B,'Act Data Set'!G:G)</f>
        <v>45315.777000000016</v>
      </c>
      <c r="G42" s="66">
        <f>_xlfn.XLOOKUP($A42,'Act Data Set'!$B:$B,'Act Data Set'!H:H)</f>
        <v>40617.122999999992</v>
      </c>
      <c r="H42" s="32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66">
        <f>AVERAGE(B42:G42)</f>
        <v>42446.780166666671</v>
      </c>
    </row>
    <row r="43" spans="1:34" x14ac:dyDescent="0.25">
      <c r="A43" s="63" t="s">
        <v>68</v>
      </c>
      <c r="B43" s="64">
        <f>_xlfn.XLOOKUP($A43,'Act Data Set'!$B:$B,'Act Data Set'!C:C)</f>
        <v>62559.993999999984</v>
      </c>
      <c r="C43" s="64">
        <f>_xlfn.XLOOKUP($A43,'Act Data Set'!$B:$B,'Act Data Set'!D:D)</f>
        <v>62559.993999999992</v>
      </c>
      <c r="D43" s="64">
        <f>_xlfn.XLOOKUP($A43,'Act Data Set'!$B:$B,'Act Data Set'!E:E)</f>
        <v>62559.993999999984</v>
      </c>
      <c r="E43" s="64">
        <f>_xlfn.XLOOKUP($A43,'Act Data Set'!$B:$B,'Act Data Set'!F:F)</f>
        <v>62559.993999999984</v>
      </c>
      <c r="F43" s="64">
        <f>_xlfn.XLOOKUP($A43,'Act Data Set'!$B:$B,'Act Data Set'!G:G)</f>
        <v>62559.993999999984</v>
      </c>
      <c r="G43" s="64">
        <f>_xlfn.XLOOKUP($A43,'Act Data Set'!$B:$B,'Act Data Set'!H:H)</f>
        <v>62559.993999999984</v>
      </c>
      <c r="H43" s="34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64">
        <f>AVERAGE(B43:G43)</f>
        <v>62559.993999999984</v>
      </c>
    </row>
    <row r="44" spans="1:34" x14ac:dyDescent="0.25">
      <c r="A44" s="62" t="s">
        <v>70</v>
      </c>
      <c r="B44" s="69">
        <f>_xlfn.XLOOKUP($A44,'Act Data Set'!$B:$B,'Act Data Set'!C:C)</f>
        <v>0.7176351391593806</v>
      </c>
      <c r="C44" s="69">
        <f>_xlfn.XLOOKUP($A44,'Act Data Set'!$B:$B,'Act Data Set'!D:D)</f>
        <v>0.6178847139915008</v>
      </c>
      <c r="D44" s="69">
        <f>_xlfn.XLOOKUP($A44,'Act Data Set'!$B:$B,'Act Data Set'!E:E)</f>
        <v>0.62692210296567508</v>
      </c>
      <c r="E44" s="69">
        <f>_xlfn.XLOOKUP($A44,'Act Data Set'!$B:$B,'Act Data Set'!F:F)</f>
        <v>0.73493331856777366</v>
      </c>
      <c r="F44" s="69">
        <f>_xlfn.XLOOKUP($A44,'Act Data Set'!$B:$B,'Act Data Set'!G:G)</f>
        <v>0.72435711870432773</v>
      </c>
      <c r="G44" s="69">
        <f>_xlfn.XLOOKUP($A44,'Act Data Set'!$B:$B,'Act Data Set'!H:H)</f>
        <v>0.64925074960844786</v>
      </c>
      <c r="H44" s="34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69">
        <f>AVERAGE(B44:G44)</f>
        <v>0.67849719049951762</v>
      </c>
    </row>
    <row r="45" spans="1:34" x14ac:dyDescent="0.25">
      <c r="A45" s="67" t="str">
        <f>A42&amp;" Forecast"</f>
        <v>Total Handling (Queue Corrected) Forecast</v>
      </c>
      <c r="B45" s="38"/>
      <c r="C45" s="39"/>
      <c r="D45" s="39"/>
      <c r="E45" s="39"/>
      <c r="F45" s="39"/>
      <c r="G45" s="40"/>
      <c r="H45" s="67">
        <f>_xlfn.XLOOKUP($A42,'FC1 Data Set'!$B:$B,'FC1 Data Set'!I:I)</f>
        <v>49964.575499999984</v>
      </c>
      <c r="I45" s="67">
        <f>_xlfn.XLOOKUP($A42,'FC1 Data Set'!$B:$B,'FC1 Data Set'!J:J)</f>
        <v>43422.197881412052</v>
      </c>
      <c r="J45" s="67">
        <f>_xlfn.XLOOKUP($A42,'FC1 Data Set'!$B:$B,'FC1 Data Set'!K:K)</f>
        <v>43253.434723261715</v>
      </c>
      <c r="K45" s="67">
        <f>_xlfn.XLOOKUP($A42,'FC1 Data Set'!$B:$B,'FC1 Data Set'!L:L)</f>
        <v>42191.392982508929</v>
      </c>
      <c r="L45" s="67">
        <f>_xlfn.XLOOKUP($A42,'FC1 Data Set'!$B:$B,'FC1 Data Set'!M:M)</f>
        <v>42398.278804289948</v>
      </c>
      <c r="M45" s="67">
        <f>_xlfn.XLOOKUP($A42,'FC1 Data Set'!$B:$B,'FC1 Data Set'!N:N)</f>
        <v>44558.773212222572</v>
      </c>
      <c r="N45" s="67">
        <f>_xlfn.XLOOKUP($A42,'FC1 Data Set'!$B:$B,'FC1 Data Set'!O:O)</f>
        <v>45195.797460599053</v>
      </c>
      <c r="O45" s="67">
        <f>_xlfn.XLOOKUP($A42,'FC1 Data Set'!$B:$B,'FC1 Data Set'!P:P)</f>
        <v>46167.610074756813</v>
      </c>
      <c r="P45" s="67">
        <f>_xlfn.XLOOKUP($A42,'FC1 Data Set'!$B:$B,'FC1 Data Set'!Q:Q)</f>
        <v>44473.103384224662</v>
      </c>
      <c r="Q45" s="67">
        <f>_xlfn.XLOOKUP($A42,'FC1 Data Set'!$B:$B,'FC1 Data Set'!R:R)</f>
        <v>46217.342601662313</v>
      </c>
      <c r="R45" s="67">
        <f>_xlfn.XLOOKUP($A42,'FC1 Data Set'!$B:$B,'FC1 Data Set'!S:S)</f>
        <v>41679.817157270569</v>
      </c>
      <c r="S45" s="67">
        <f>_xlfn.XLOOKUP($A42,'FC1 Data Set'!$B:$B,'FC1 Data Set'!T:T)</f>
        <v>43517.608472371241</v>
      </c>
      <c r="T45" s="67">
        <f>_xlfn.XLOOKUP($A42,'FC1 Data Set'!$B:$B,'FC1 Data Set'!U:U)</f>
        <v>41879.090423392685</v>
      </c>
      <c r="U45" s="67">
        <f>_xlfn.XLOOKUP($A42,'FC1 Data Set'!$B:$B,'FC1 Data Set'!V:V)</f>
        <v>38958.096405312535</v>
      </c>
      <c r="V45" s="67">
        <f>_xlfn.XLOOKUP($A42,'FC1 Data Set'!$B:$B,'FC1 Data Set'!W:W)</f>
        <v>37934.461149145485</v>
      </c>
      <c r="W45" s="67">
        <f>_xlfn.XLOOKUP($A42,'FC1 Data Set'!$B:$B,'FC1 Data Set'!X:X)</f>
        <v>42726.133077752267</v>
      </c>
      <c r="X45" s="67">
        <f>_xlfn.XLOOKUP($A42,'FC1 Data Set'!$B:$B,'FC1 Data Set'!Y:Y)</f>
        <v>45575.906300086106</v>
      </c>
      <c r="Y45" s="67">
        <f>_xlfn.XLOOKUP($A42,'FC1 Data Set'!$B:$B,'FC1 Data Set'!Z:Z)</f>
        <v>46218.617704868338</v>
      </c>
      <c r="Z45" s="67">
        <f>_xlfn.XLOOKUP($A42,'FC1 Data Set'!$B:$B,'FC1 Data Set'!AA:AA)</f>
        <v>36660.234434748025</v>
      </c>
      <c r="AA45" s="67">
        <f>_xlfn.XLOOKUP($A42,'FC1 Data Set'!$B:$B,'FC1 Data Set'!AB:AB)</f>
        <v>36682.037039204821</v>
      </c>
      <c r="AB45" s="67">
        <f>_xlfn.XLOOKUP($A42,'FC1 Data Set'!$B:$B,'FC1 Data Set'!AC:AC)</f>
        <v>40592.637255467213</v>
      </c>
      <c r="AC45" s="67">
        <f>_xlfn.XLOOKUP($A42,'FC1 Data Set'!$B:$B,'FC1 Data Set'!AD:AD)</f>
        <v>43396.430121438709</v>
      </c>
      <c r="AD45" s="67">
        <f>_xlfn.XLOOKUP($A42,'FC1 Data Set'!$B:$B,'FC1 Data Set'!AE:AE)</f>
        <v>43425.06650577228</v>
      </c>
      <c r="AE45" s="67">
        <f>_xlfn.XLOOKUP($A42,'FC1 Data Set'!$B:$B,'FC1 Data Set'!AF:AF)</f>
        <v>43024.993091539014</v>
      </c>
      <c r="AF45" s="67">
        <f>_xlfn.XLOOKUP($A42,'FC1 Data Set'!$B:$B,'FC1 Data Set'!AG:AG)</f>
        <v>47851.763512573394</v>
      </c>
      <c r="AG45" s="67">
        <f>_xlfn.XLOOKUP($A42,'FC1 Data Set'!$B:$B,'FC1 Data Set'!AH:AH)</f>
        <v>41054.577055613467</v>
      </c>
      <c r="AH45" s="67">
        <f>AVERAGE(H45:AG45)</f>
        <v>43039.229858903629</v>
      </c>
    </row>
    <row r="46" spans="1:34" x14ac:dyDescent="0.25">
      <c r="A46" s="68" t="str">
        <f t="shared" ref="A46:A47" si="2">A43&amp;" Forecast"</f>
        <v>Total Upside Handling Capacity Forecast</v>
      </c>
      <c r="B46" s="41"/>
      <c r="C46" s="42"/>
      <c r="D46" s="42"/>
      <c r="E46" s="42"/>
      <c r="F46" s="42"/>
      <c r="G46" s="43"/>
      <c r="H46" s="68">
        <f>_xlfn.XLOOKUP($A43,'FC1 Data Set'!$B:$B,'FC1 Data Set'!I:I)</f>
        <v>62559.993999999984</v>
      </c>
      <c r="I46" s="68">
        <f>_xlfn.XLOOKUP($A43,'FC1 Data Set'!$B:$B,'FC1 Data Set'!J:J)</f>
        <v>62559.993999999984</v>
      </c>
      <c r="J46" s="68">
        <f>_xlfn.XLOOKUP($A43,'FC1 Data Set'!$B:$B,'FC1 Data Set'!K:K)</f>
        <v>62559.993999999984</v>
      </c>
      <c r="K46" s="68">
        <f>_xlfn.XLOOKUP($A43,'FC1 Data Set'!$B:$B,'FC1 Data Set'!L:L)</f>
        <v>62559.993999999984</v>
      </c>
      <c r="L46" s="68">
        <f>_xlfn.XLOOKUP($A43,'FC1 Data Set'!$B:$B,'FC1 Data Set'!M:M)</f>
        <v>62559.993999999984</v>
      </c>
      <c r="M46" s="68">
        <f>_xlfn.XLOOKUP($A43,'FC1 Data Set'!$B:$B,'FC1 Data Set'!N:N)</f>
        <v>62559.993999999984</v>
      </c>
      <c r="N46" s="68">
        <f>_xlfn.XLOOKUP($A43,'FC1 Data Set'!$B:$B,'FC1 Data Set'!O:O)</f>
        <v>62559.993999999984</v>
      </c>
      <c r="O46" s="68">
        <f>_xlfn.XLOOKUP($A43,'FC1 Data Set'!$B:$B,'FC1 Data Set'!P:P)</f>
        <v>62559.993999999984</v>
      </c>
      <c r="P46" s="68">
        <f>_xlfn.XLOOKUP($A43,'FC1 Data Set'!$B:$B,'FC1 Data Set'!Q:Q)</f>
        <v>62559.993999999984</v>
      </c>
      <c r="Q46" s="68">
        <f>_xlfn.XLOOKUP($A43,'FC1 Data Set'!$B:$B,'FC1 Data Set'!R:R)</f>
        <v>62559.993999999984</v>
      </c>
      <c r="R46" s="68">
        <f>_xlfn.XLOOKUP($A43,'FC1 Data Set'!$B:$B,'FC1 Data Set'!S:S)</f>
        <v>62559.993999999999</v>
      </c>
      <c r="S46" s="68">
        <f>_xlfn.XLOOKUP($A43,'FC1 Data Set'!$B:$B,'FC1 Data Set'!T:T)</f>
        <v>62559.993999999984</v>
      </c>
      <c r="T46" s="68">
        <f>_xlfn.XLOOKUP($A43,'FC1 Data Set'!$B:$B,'FC1 Data Set'!U:U)</f>
        <v>62559.993999999984</v>
      </c>
      <c r="U46" s="68">
        <f>_xlfn.XLOOKUP($A43,'FC1 Data Set'!$B:$B,'FC1 Data Set'!V:V)</f>
        <v>62559.993999999984</v>
      </c>
      <c r="V46" s="68">
        <f>_xlfn.XLOOKUP($A43,'FC1 Data Set'!$B:$B,'FC1 Data Set'!W:W)</f>
        <v>62559.993999999984</v>
      </c>
      <c r="W46" s="68">
        <f>_xlfn.XLOOKUP($A43,'FC1 Data Set'!$B:$B,'FC1 Data Set'!X:X)</f>
        <v>62559.993999999984</v>
      </c>
      <c r="X46" s="68">
        <f>_xlfn.XLOOKUP($A43,'FC1 Data Set'!$B:$B,'FC1 Data Set'!Y:Y)</f>
        <v>62559.993999999984</v>
      </c>
      <c r="Y46" s="68">
        <f>_xlfn.XLOOKUP($A43,'FC1 Data Set'!$B:$B,'FC1 Data Set'!Z:Z)</f>
        <v>62559.993999999984</v>
      </c>
      <c r="Z46" s="68">
        <f>_xlfn.XLOOKUP($A43,'FC1 Data Set'!$B:$B,'FC1 Data Set'!AA:AA)</f>
        <v>62559.993999999984</v>
      </c>
      <c r="AA46" s="68">
        <f>_xlfn.XLOOKUP($A43,'FC1 Data Set'!$B:$B,'FC1 Data Set'!AB:AB)</f>
        <v>62559.993999999984</v>
      </c>
      <c r="AB46" s="68">
        <f>_xlfn.XLOOKUP($A43,'FC1 Data Set'!$B:$B,'FC1 Data Set'!AC:AC)</f>
        <v>62559.993999999984</v>
      </c>
      <c r="AC46" s="68">
        <f>_xlfn.XLOOKUP($A43,'FC1 Data Set'!$B:$B,'FC1 Data Set'!AD:AD)</f>
        <v>62559.993999999984</v>
      </c>
      <c r="AD46" s="68">
        <f>_xlfn.XLOOKUP($A43,'FC1 Data Set'!$B:$B,'FC1 Data Set'!AE:AE)</f>
        <v>62559.993999999984</v>
      </c>
      <c r="AE46" s="68">
        <f>_xlfn.XLOOKUP($A43,'FC1 Data Set'!$B:$B,'FC1 Data Set'!AF:AF)</f>
        <v>62559.993999999984</v>
      </c>
      <c r="AF46" s="68">
        <f>_xlfn.XLOOKUP($A43,'FC1 Data Set'!$B:$B,'FC1 Data Set'!AG:AG)</f>
        <v>62559.993999999984</v>
      </c>
      <c r="AG46" s="68">
        <f>_xlfn.XLOOKUP($A43,'FC1 Data Set'!$B:$B,'FC1 Data Set'!AH:AH)</f>
        <v>62559.993999999984</v>
      </c>
      <c r="AH46" s="68">
        <f>AVERAGE(H46:AG46)</f>
        <v>62559.993999999962</v>
      </c>
    </row>
    <row r="47" spans="1:34" x14ac:dyDescent="0.25">
      <c r="A47" s="59" t="str">
        <f t="shared" si="2"/>
        <v>Total Upside Handling Capacity Utilization % (Queue Corrected) Forecast</v>
      </c>
      <c r="B47" s="41"/>
      <c r="C47" s="42"/>
      <c r="D47" s="42"/>
      <c r="E47" s="42"/>
      <c r="F47" s="42"/>
      <c r="G47" s="43"/>
      <c r="H47" s="61">
        <f>_xlfn.XLOOKUP($A44,'FC1 Data Set'!$B:$B,'FC1 Data Set'!I:I)</f>
        <v>0.79866656476981113</v>
      </c>
      <c r="I47" s="61">
        <f>_xlfn.XLOOKUP($A44,'FC1 Data Set'!$B:$B,'FC1 Data Set'!J:J)</f>
        <v>0.69408890738403939</v>
      </c>
      <c r="J47" s="61">
        <f>_xlfn.XLOOKUP($A44,'FC1 Data Set'!$B:$B,'FC1 Data Set'!K:K)</f>
        <v>0.69139128631089264</v>
      </c>
      <c r="K47" s="61">
        <f>_xlfn.XLOOKUP($A44,'FC1 Data Set'!$B:$B,'FC1 Data Set'!L:L)</f>
        <v>0.67441491414639421</v>
      </c>
      <c r="L47" s="61">
        <f>_xlfn.XLOOKUP($A44,'FC1 Data Set'!$B:$B,'FC1 Data Set'!M:M)</f>
        <v>0.6777219128935652</v>
      </c>
      <c r="M47" s="61">
        <f>_xlfn.XLOOKUP($A44,'FC1 Data Set'!$B:$B,'FC1 Data Set'!N:N)</f>
        <v>0.71225667336577081</v>
      </c>
      <c r="N47" s="61">
        <f>_xlfn.XLOOKUP($A44,'FC1 Data Set'!$B:$B,'FC1 Data Set'!O:O)</f>
        <v>0.72243928700822868</v>
      </c>
      <c r="O47" s="61">
        <f>_xlfn.XLOOKUP($A44,'FC1 Data Set'!$B:$B,'FC1 Data Set'!P:P)</f>
        <v>0.73797337759905834</v>
      </c>
      <c r="P47" s="61">
        <f>_xlfn.XLOOKUP($A44,'FC1 Data Set'!$B:$B,'FC1 Data Set'!Q:Q)</f>
        <v>0.71088727061298429</v>
      </c>
      <c r="Q47" s="61">
        <f>_xlfn.XLOOKUP($A44,'FC1 Data Set'!$B:$B,'FC1 Data Set'!R:R)</f>
        <v>0.73876833494680838</v>
      </c>
      <c r="R47" s="61">
        <f>_xlfn.XLOOKUP($A44,'FC1 Data Set'!$B:$B,'FC1 Data Set'!S:S)</f>
        <v>0.66623755042672428</v>
      </c>
      <c r="S47" s="61">
        <f>_xlfn.XLOOKUP($A44,'FC1 Data Set'!$B:$B,'FC1 Data Set'!T:T)</f>
        <v>0.69561401288451619</v>
      </c>
      <c r="T47" s="61">
        <f>_xlfn.XLOOKUP($A44,'FC1 Data Set'!$B:$B,'FC1 Data Set'!U:U)</f>
        <v>0.66942286508839333</v>
      </c>
      <c r="U47" s="61">
        <f>_xlfn.XLOOKUP($A44,'FC1 Data Set'!$B:$B,'FC1 Data Set'!V:V)</f>
        <v>0.62273177975868321</v>
      </c>
      <c r="V47" s="61">
        <f>_xlfn.XLOOKUP($A44,'FC1 Data Set'!$B:$B,'FC1 Data Set'!W:W)</f>
        <v>0.60636932204861616</v>
      </c>
      <c r="W47" s="61">
        <f>_xlfn.XLOOKUP($A44,'FC1 Data Set'!$B:$B,'FC1 Data Set'!X:X)</f>
        <v>0.68296255075971202</v>
      </c>
      <c r="X47" s="61">
        <f>_xlfn.XLOOKUP($A44,'FC1 Data Set'!$B:$B,'FC1 Data Set'!Y:Y)</f>
        <v>0.72851519615053217</v>
      </c>
      <c r="Y47" s="61">
        <f>_xlfn.XLOOKUP($A44,'FC1 Data Set'!$B:$B,'FC1 Data Set'!Z:Z)</f>
        <v>0.73878871703325855</v>
      </c>
      <c r="Z47" s="61">
        <f>_xlfn.XLOOKUP($A44,'FC1 Data Set'!$B:$B,'FC1 Data Set'!AA:AA)</f>
        <v>0.58600124601591286</v>
      </c>
      <c r="AA47" s="61">
        <f>_xlfn.XLOOKUP($A44,'FC1 Data Set'!$B:$B,'FC1 Data Set'!AB:AB)</f>
        <v>0.58634975315382587</v>
      </c>
      <c r="AB47" s="61">
        <f>_xlfn.XLOOKUP($A44,'FC1 Data Set'!$B:$B,'FC1 Data Set'!AC:AC)</f>
        <v>0.6488593533987107</v>
      </c>
      <c r="AC47" s="61">
        <f>_xlfn.XLOOKUP($A44,'FC1 Data Set'!$B:$B,'FC1 Data Set'!AD:AD)</f>
        <v>0.69367701859815911</v>
      </c>
      <c r="AD47" s="61">
        <f>_xlfn.XLOOKUP($A44,'FC1 Data Set'!$B:$B,'FC1 Data Set'!AE:AE)</f>
        <v>0.6941347613583897</v>
      </c>
      <c r="AE47" s="61">
        <f>_xlfn.XLOOKUP($A44,'FC1 Data Set'!$B:$B,'FC1 Data Set'!AF:AF)</f>
        <v>0.68773972535130079</v>
      </c>
      <c r="AF47" s="61">
        <f>_xlfn.XLOOKUP($A44,'FC1 Data Set'!$B:$B,'FC1 Data Set'!AG:AG)</f>
        <v>0.7648939913992544</v>
      </c>
      <c r="AG47" s="61">
        <f>_xlfn.XLOOKUP($A44,'FC1 Data Set'!$B:$B,'FC1 Data Set'!AH:AH)</f>
        <v>0.65624330231894645</v>
      </c>
      <c r="AH47" s="61">
        <f>AVERAGE(H47:AG47)</f>
        <v>0.68796729518394173</v>
      </c>
    </row>
    <row r="67" spans="1:34" x14ac:dyDescent="0.25">
      <c r="A67" s="14"/>
      <c r="B67" s="9" t="str">
        <f t="shared" ref="B67:AG67" si="3">B41</f>
        <v>202631</v>
      </c>
      <c r="C67" s="9" t="str">
        <f t="shared" si="3"/>
        <v>202632</v>
      </c>
      <c r="D67" s="9" t="str">
        <f t="shared" si="3"/>
        <v>202633</v>
      </c>
      <c r="E67" s="9" t="str">
        <f t="shared" si="3"/>
        <v>202634</v>
      </c>
      <c r="F67" s="9" t="str">
        <f t="shared" si="3"/>
        <v>202635</v>
      </c>
      <c r="G67" s="9" t="str">
        <f t="shared" si="3"/>
        <v>202636</v>
      </c>
      <c r="H67" s="9" t="str">
        <f t="shared" si="3"/>
        <v>202637</v>
      </c>
      <c r="I67" s="9" t="str">
        <f t="shared" si="3"/>
        <v>202638</v>
      </c>
      <c r="J67" s="9" t="str">
        <f t="shared" si="3"/>
        <v>202639</v>
      </c>
      <c r="K67" s="9" t="str">
        <f t="shared" si="3"/>
        <v>202640</v>
      </c>
      <c r="L67" s="9" t="str">
        <f t="shared" si="3"/>
        <v>202641</v>
      </c>
      <c r="M67" s="9" t="str">
        <f t="shared" si="3"/>
        <v>202642</v>
      </c>
      <c r="N67" s="9" t="str">
        <f t="shared" si="3"/>
        <v>202643</v>
      </c>
      <c r="O67" s="9" t="str">
        <f t="shared" si="3"/>
        <v>202644</v>
      </c>
      <c r="P67" s="9" t="str">
        <f t="shared" si="3"/>
        <v>202645</v>
      </c>
      <c r="Q67" s="9" t="str">
        <f t="shared" si="3"/>
        <v>202646</v>
      </c>
      <c r="R67" s="9" t="str">
        <f t="shared" si="3"/>
        <v>202647</v>
      </c>
      <c r="S67" s="9" t="str">
        <f t="shared" si="3"/>
        <v>202648</v>
      </c>
      <c r="T67" s="9" t="str">
        <f t="shared" si="3"/>
        <v>202649</v>
      </c>
      <c r="U67" s="9" t="str">
        <f t="shared" si="3"/>
        <v>202650</v>
      </c>
      <c r="V67" s="9" t="str">
        <f t="shared" si="3"/>
        <v>202651</v>
      </c>
      <c r="W67" s="9" t="str">
        <f t="shared" si="3"/>
        <v>202652</v>
      </c>
      <c r="X67" s="9" t="str">
        <f t="shared" si="3"/>
        <v>202653</v>
      </c>
      <c r="Y67" s="9" t="str">
        <f t="shared" si="3"/>
        <v>202701</v>
      </c>
      <c r="Z67" s="9" t="str">
        <f t="shared" si="3"/>
        <v>202702</v>
      </c>
      <c r="AA67" s="9" t="str">
        <f t="shared" si="3"/>
        <v>202703</v>
      </c>
      <c r="AB67" s="9" t="str">
        <f t="shared" si="3"/>
        <v>202704</v>
      </c>
      <c r="AC67" s="9" t="str">
        <f t="shared" si="3"/>
        <v>202705</v>
      </c>
      <c r="AD67" s="9" t="str">
        <f t="shared" si="3"/>
        <v>202706</v>
      </c>
      <c r="AE67" s="9" t="str">
        <f t="shared" si="3"/>
        <v>202707</v>
      </c>
      <c r="AF67" s="9" t="str">
        <f t="shared" si="3"/>
        <v>202708</v>
      </c>
      <c r="AG67" s="9" t="str">
        <f t="shared" si="3"/>
        <v>202709</v>
      </c>
      <c r="AH67" s="9" t="s">
        <v>53</v>
      </c>
    </row>
    <row r="68" spans="1:34" x14ac:dyDescent="0.25">
      <c r="A68" s="70" t="s">
        <v>23</v>
      </c>
      <c r="B68" s="71">
        <f>_xlfn.XLOOKUP($A68,'Act Data Set'!$B:$B,'Act Data Set'!C:C)</f>
        <v>125185</v>
      </c>
      <c r="C68" s="71">
        <f>_xlfn.XLOOKUP($A68,'Act Data Set'!$B:$B,'Act Data Set'!D:D)</f>
        <v>122834</v>
      </c>
      <c r="D68" s="71">
        <f>_xlfn.XLOOKUP($A68,'Act Data Set'!$B:$B,'Act Data Set'!E:E)</f>
        <v>121419</v>
      </c>
      <c r="E68" s="71">
        <f>_xlfn.XLOOKUP($A68,'Act Data Set'!$B:$B,'Act Data Set'!F:F)</f>
        <v>118919</v>
      </c>
      <c r="F68" s="71">
        <f>_xlfn.XLOOKUP($A68,'Act Data Set'!$B:$B,'Act Data Set'!G:G)</f>
        <v>113098</v>
      </c>
      <c r="G68" s="71">
        <f>_xlfn.XLOOKUP($A68,'Act Data Set'!$B:$B,'Act Data Set'!H:H)</f>
        <v>110329</v>
      </c>
      <c r="H68" s="32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71">
        <f>AVERAGE(B68:G68)</f>
        <v>118630.66666666667</v>
      </c>
    </row>
    <row r="69" spans="1:34" x14ac:dyDescent="0.25">
      <c r="A69" s="63" t="s">
        <v>31</v>
      </c>
      <c r="B69" s="64">
        <f>_xlfn.XLOOKUP($A69,'Act Data Set'!$B:$B,'Act Data Set'!C:C)</f>
        <v>193785.35</v>
      </c>
      <c r="C69" s="64">
        <f>_xlfn.XLOOKUP($A69,'Act Data Set'!$B:$B,'Act Data Set'!D:D)</f>
        <v>193785.35</v>
      </c>
      <c r="D69" s="64">
        <f>_xlfn.XLOOKUP($A69,'Act Data Set'!$B:$B,'Act Data Set'!E:E)</f>
        <v>193785.35</v>
      </c>
      <c r="E69" s="64">
        <f>_xlfn.XLOOKUP($A69,'Act Data Set'!$B:$B,'Act Data Set'!F:F)</f>
        <v>193785.35</v>
      </c>
      <c r="F69" s="64">
        <f>_xlfn.XLOOKUP($A69,'Act Data Set'!$B:$B,'Act Data Set'!G:G)</f>
        <v>193785.35</v>
      </c>
      <c r="G69" s="64">
        <f>_xlfn.XLOOKUP($A69,'Act Data Set'!$B:$B,'Act Data Set'!H:H)</f>
        <v>193785.35</v>
      </c>
      <c r="H69" s="34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64">
        <f>AVERAGE(B69:G69)</f>
        <v>193785.35</v>
      </c>
    </row>
    <row r="70" spans="1:34" x14ac:dyDescent="0.25">
      <c r="A70" s="62" t="s">
        <v>32</v>
      </c>
      <c r="B70" s="69">
        <f>_xlfn.XLOOKUP($A70,'Act Data Set'!$B:$B,'Act Data Set'!C:C)</f>
        <v>0.64599826560676543</v>
      </c>
      <c r="C70" s="69">
        <f>_xlfn.XLOOKUP($A70,'Act Data Set'!$B:$B,'Act Data Set'!D:D)</f>
        <v>0.63386628555770597</v>
      </c>
      <c r="D70" s="69">
        <f>_xlfn.XLOOKUP($A70,'Act Data Set'!$B:$B,'Act Data Set'!E:E)</f>
        <v>0.62656439199351244</v>
      </c>
      <c r="E70" s="69">
        <f>_xlfn.XLOOKUP($A70,'Act Data Set'!$B:$B,'Act Data Set'!F:F)</f>
        <v>0.613663519971969</v>
      </c>
      <c r="F70" s="69">
        <f>_xlfn.XLOOKUP($A70,'Act Data Set'!$B:$B,'Act Data Set'!G:G)</f>
        <v>0.58362512955700729</v>
      </c>
      <c r="G70" s="69">
        <f>_xlfn.XLOOKUP($A70,'Act Data Set'!$B:$B,'Act Data Set'!H:H)</f>
        <v>0.56933612370594577</v>
      </c>
      <c r="H70" s="34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69">
        <f>AVERAGE(B70:G70)</f>
        <v>0.61217561939881759</v>
      </c>
    </row>
    <row r="71" spans="1:34" x14ac:dyDescent="0.25">
      <c r="A71" s="72" t="str">
        <f>A68&amp;" Forecast"</f>
        <v>Stock in DC + Ext. Storage Forecast</v>
      </c>
      <c r="B71" s="38"/>
      <c r="C71" s="39"/>
      <c r="D71" s="39"/>
      <c r="E71" s="39"/>
      <c r="F71" s="39"/>
      <c r="G71" s="40"/>
      <c r="H71" s="72">
        <f>_xlfn.XLOOKUP($A68,'FC1 Data Set'!$B:$B,'FC1 Data Set'!I:I)</f>
        <v>108095.05028344999</v>
      </c>
      <c r="I71" s="72">
        <f>_xlfn.XLOOKUP($A68,'FC1 Data Set'!$B:$B,'FC1 Data Set'!J:J)</f>
        <v>109356.94800768877</v>
      </c>
      <c r="J71" s="72">
        <f>_xlfn.XLOOKUP($A68,'FC1 Data Set'!$B:$B,'FC1 Data Set'!K:K)</f>
        <v>110508.2621230674</v>
      </c>
      <c r="K71" s="72">
        <f>_xlfn.XLOOKUP($A68,'FC1 Data Set'!$B:$B,'FC1 Data Set'!L:L)</f>
        <v>112193.83656268986</v>
      </c>
      <c r="L71" s="72">
        <f>_xlfn.XLOOKUP($A68,'FC1 Data Set'!$B:$B,'FC1 Data Set'!M:M)</f>
        <v>114433.71351674951</v>
      </c>
      <c r="M71" s="72">
        <f>_xlfn.XLOOKUP($A68,'FC1 Data Set'!$B:$B,'FC1 Data Set'!N:N)</f>
        <v>116653.05848261619</v>
      </c>
      <c r="N71" s="72">
        <f>_xlfn.XLOOKUP($A68,'FC1 Data Set'!$B:$B,'FC1 Data Set'!O:O)</f>
        <v>115634.66356429426</v>
      </c>
      <c r="O71" s="72">
        <f>_xlfn.XLOOKUP($A68,'FC1 Data Set'!$B:$B,'FC1 Data Set'!P:P)</f>
        <v>115046.23363905106</v>
      </c>
      <c r="P71" s="72">
        <f>_xlfn.XLOOKUP($A68,'FC1 Data Set'!$B:$B,'FC1 Data Set'!Q:Q)</f>
        <v>112703.99702327572</v>
      </c>
      <c r="Q71" s="72">
        <f>_xlfn.XLOOKUP($A68,'FC1 Data Set'!$B:$B,'FC1 Data Set'!R:R)</f>
        <v>112715.87962493801</v>
      </c>
      <c r="R71" s="72">
        <f>_xlfn.XLOOKUP($A68,'FC1 Data Set'!$B:$B,'FC1 Data Set'!S:S)</f>
        <v>108874.13678220857</v>
      </c>
      <c r="S71" s="72">
        <f>_xlfn.XLOOKUP($A68,'FC1 Data Set'!$B:$B,'FC1 Data Set'!T:T)</f>
        <v>102366.14525457981</v>
      </c>
      <c r="T71" s="72">
        <f>_xlfn.XLOOKUP($A68,'FC1 Data Set'!$B:$B,'FC1 Data Set'!U:U)</f>
        <v>99431.555677972501</v>
      </c>
      <c r="U71" s="72">
        <f>_xlfn.XLOOKUP($A68,'FC1 Data Set'!$B:$B,'FC1 Data Set'!V:V)</f>
        <v>100884.57208328503</v>
      </c>
      <c r="V71" s="72">
        <f>_xlfn.XLOOKUP($A68,'FC1 Data Set'!$B:$B,'FC1 Data Set'!W:W)</f>
        <v>102768.29323243051</v>
      </c>
      <c r="W71" s="72">
        <f>_xlfn.XLOOKUP($A68,'FC1 Data Set'!$B:$B,'FC1 Data Set'!X:X)</f>
        <v>103409.10631018277</v>
      </c>
      <c r="X71" s="72">
        <f>_xlfn.XLOOKUP($A68,'FC1 Data Set'!$B:$B,'FC1 Data Set'!Y:Y)</f>
        <v>101915.2726102689</v>
      </c>
      <c r="Y71" s="72">
        <f>_xlfn.XLOOKUP($A68,'FC1 Data Set'!$B:$B,'FC1 Data Set'!Z:Z)</f>
        <v>100474.77031513726</v>
      </c>
      <c r="Z71" s="72">
        <f>_xlfn.XLOOKUP($A68,'FC1 Data Set'!$B:$B,'FC1 Data Set'!AA:AA)</f>
        <v>97673.704749885277</v>
      </c>
      <c r="AA71" s="72">
        <f>_xlfn.XLOOKUP($A68,'FC1 Data Set'!$B:$B,'FC1 Data Set'!AB:AB)</f>
        <v>95771.481789090089</v>
      </c>
      <c r="AB71" s="72">
        <f>_xlfn.XLOOKUP($A68,'FC1 Data Set'!$B:$B,'FC1 Data Set'!AC:AC)</f>
        <v>94863.599044557312</v>
      </c>
      <c r="AC71" s="72">
        <f>_xlfn.XLOOKUP($A68,'FC1 Data Set'!$B:$B,'FC1 Data Set'!AD:AD)</f>
        <v>96406.90916599601</v>
      </c>
      <c r="AD71" s="72">
        <f>_xlfn.XLOOKUP($A68,'FC1 Data Set'!$B:$B,'FC1 Data Set'!AE:AE)</f>
        <v>97301.675671768287</v>
      </c>
      <c r="AE71" s="72">
        <f>_xlfn.XLOOKUP($A68,'FC1 Data Set'!$B:$B,'FC1 Data Set'!AF:AF)</f>
        <v>97004.828763307305</v>
      </c>
      <c r="AF71" s="72">
        <f>_xlfn.XLOOKUP($A68,'FC1 Data Set'!$B:$B,'FC1 Data Set'!AG:AG)</f>
        <v>94774.152275880697</v>
      </c>
      <c r="AG71" s="72">
        <f>_xlfn.XLOOKUP($A68,'FC1 Data Set'!$B:$B,'FC1 Data Set'!AH:AH)</f>
        <v>94748.749331494168</v>
      </c>
      <c r="AH71" s="72">
        <f>AVERAGE(H71:AG71)</f>
        <v>104461.94599561022</v>
      </c>
    </row>
    <row r="72" spans="1:34" x14ac:dyDescent="0.25">
      <c r="A72" s="68" t="str">
        <f t="shared" ref="A72" si="4">A69&amp;" Forecast"</f>
        <v>Total DC Storage Capacity (incl. external) Forecast</v>
      </c>
      <c r="B72" s="41"/>
      <c r="C72" s="42"/>
      <c r="D72" s="42"/>
      <c r="E72" s="42"/>
      <c r="F72" s="42"/>
      <c r="G72" s="43"/>
      <c r="H72" s="68">
        <f>_xlfn.XLOOKUP($A69,'FC1 Data Set'!$B:$B,'FC1 Data Set'!I:I)</f>
        <v>193785.35</v>
      </c>
      <c r="I72" s="68">
        <f>_xlfn.XLOOKUP($A69,'FC1 Data Set'!$B:$B,'FC1 Data Set'!J:J)</f>
        <v>193785.35</v>
      </c>
      <c r="J72" s="68">
        <f>_xlfn.XLOOKUP($A69,'FC1 Data Set'!$B:$B,'FC1 Data Set'!K:K)</f>
        <v>193785.35</v>
      </c>
      <c r="K72" s="68">
        <f>_xlfn.XLOOKUP($A69,'FC1 Data Set'!$B:$B,'FC1 Data Set'!L:L)</f>
        <v>193785.35</v>
      </c>
      <c r="L72" s="68">
        <f>_xlfn.XLOOKUP($A69,'FC1 Data Set'!$B:$B,'FC1 Data Set'!M:M)</f>
        <v>193785.35</v>
      </c>
      <c r="M72" s="68">
        <f>_xlfn.XLOOKUP($A69,'FC1 Data Set'!$B:$B,'FC1 Data Set'!N:N)</f>
        <v>193785.35</v>
      </c>
      <c r="N72" s="68">
        <f>_xlfn.XLOOKUP($A69,'FC1 Data Set'!$B:$B,'FC1 Data Set'!O:O)</f>
        <v>193785.35</v>
      </c>
      <c r="O72" s="68">
        <f>_xlfn.XLOOKUP($A69,'FC1 Data Set'!$B:$B,'FC1 Data Set'!P:P)</f>
        <v>193785.35</v>
      </c>
      <c r="P72" s="68">
        <f>_xlfn.XLOOKUP($A69,'FC1 Data Set'!$B:$B,'FC1 Data Set'!Q:Q)</f>
        <v>193785.35</v>
      </c>
      <c r="Q72" s="68">
        <f>_xlfn.XLOOKUP($A69,'FC1 Data Set'!$B:$B,'FC1 Data Set'!R:R)</f>
        <v>193785.35</v>
      </c>
      <c r="R72" s="68">
        <f>_xlfn.XLOOKUP($A69,'FC1 Data Set'!$B:$B,'FC1 Data Set'!S:S)</f>
        <v>193785.35</v>
      </c>
      <c r="S72" s="68">
        <f>_xlfn.XLOOKUP($A69,'FC1 Data Set'!$B:$B,'FC1 Data Set'!T:T)</f>
        <v>193785.35</v>
      </c>
      <c r="T72" s="68">
        <f>_xlfn.XLOOKUP($A69,'FC1 Data Set'!$B:$B,'FC1 Data Set'!U:U)</f>
        <v>193785.35</v>
      </c>
      <c r="U72" s="68">
        <f>_xlfn.XLOOKUP($A69,'FC1 Data Set'!$B:$B,'FC1 Data Set'!V:V)</f>
        <v>193785.35</v>
      </c>
      <c r="V72" s="68">
        <f>_xlfn.XLOOKUP($A69,'FC1 Data Set'!$B:$B,'FC1 Data Set'!W:W)</f>
        <v>193785.35</v>
      </c>
      <c r="W72" s="68">
        <f>_xlfn.XLOOKUP($A69,'FC1 Data Set'!$B:$B,'FC1 Data Set'!X:X)</f>
        <v>193785.35</v>
      </c>
      <c r="X72" s="68">
        <f>_xlfn.XLOOKUP($A69,'FC1 Data Set'!$B:$B,'FC1 Data Set'!Y:Y)</f>
        <v>193785.35</v>
      </c>
      <c r="Y72" s="68">
        <f>_xlfn.XLOOKUP($A69,'FC1 Data Set'!$B:$B,'FC1 Data Set'!Z:Z)</f>
        <v>193785.35</v>
      </c>
      <c r="Z72" s="68">
        <f>_xlfn.XLOOKUP($A69,'FC1 Data Set'!$B:$B,'FC1 Data Set'!AA:AA)</f>
        <v>193785.35</v>
      </c>
      <c r="AA72" s="68">
        <f>_xlfn.XLOOKUP($A69,'FC1 Data Set'!$B:$B,'FC1 Data Set'!AB:AB)</f>
        <v>193785.35</v>
      </c>
      <c r="AB72" s="68">
        <f>_xlfn.XLOOKUP($A69,'FC1 Data Set'!$B:$B,'FC1 Data Set'!AC:AC)</f>
        <v>193785.35</v>
      </c>
      <c r="AC72" s="68">
        <f>_xlfn.XLOOKUP($A69,'FC1 Data Set'!$B:$B,'FC1 Data Set'!AD:AD)</f>
        <v>193785.35</v>
      </c>
      <c r="AD72" s="68">
        <f>_xlfn.XLOOKUP($A69,'FC1 Data Set'!$B:$B,'FC1 Data Set'!AE:AE)</f>
        <v>193785.35</v>
      </c>
      <c r="AE72" s="68">
        <f>_xlfn.XLOOKUP($A69,'FC1 Data Set'!$B:$B,'FC1 Data Set'!AF:AF)</f>
        <v>193785.35</v>
      </c>
      <c r="AF72" s="68">
        <f>_xlfn.XLOOKUP($A69,'FC1 Data Set'!$B:$B,'FC1 Data Set'!AG:AG)</f>
        <v>193785.35</v>
      </c>
      <c r="AG72" s="68">
        <f>_xlfn.XLOOKUP($A69,'FC1 Data Set'!$B:$B,'FC1 Data Set'!AH:AH)</f>
        <v>193785.35</v>
      </c>
      <c r="AH72" s="68">
        <f>AVERAGE(H72:AG72)</f>
        <v>193785.34999999998</v>
      </c>
    </row>
    <row r="73" spans="1:34" x14ac:dyDescent="0.25">
      <c r="A73" s="59" t="str">
        <f>A70&amp;" Forecast"</f>
        <v>Total Storage Utilization Forecast</v>
      </c>
      <c r="B73" s="41"/>
      <c r="C73" s="42"/>
      <c r="D73" s="42"/>
      <c r="E73" s="42"/>
      <c r="F73" s="42"/>
      <c r="G73" s="43"/>
      <c r="H73" s="61">
        <f>_xlfn.XLOOKUP($A70,'FC1 Data Set'!$B:$B,'FC1 Data Set'!I:I)</f>
        <v>0.55780816394763577</v>
      </c>
      <c r="I73" s="61">
        <f>_xlfn.XLOOKUP($A70,'FC1 Data Set'!$B:$B,'FC1 Data Set'!J:J)</f>
        <v>0.56431999636550834</v>
      </c>
      <c r="J73" s="61">
        <f>_xlfn.XLOOKUP($A70,'FC1 Data Set'!$B:$B,'FC1 Data Set'!K:K)</f>
        <v>0.57026117878914684</v>
      </c>
      <c r="K73" s="61">
        <f>_xlfn.XLOOKUP($A70,'FC1 Data Set'!$B:$B,'FC1 Data Set'!L:L)</f>
        <v>0.57895933084048845</v>
      </c>
      <c r="L73" s="61">
        <f>_xlfn.XLOOKUP($A70,'FC1 Data Set'!$B:$B,'FC1 Data Set'!M:M)</f>
        <v>0.5905178772118197</v>
      </c>
      <c r="M73" s="61">
        <f>_xlfn.XLOOKUP($A70,'FC1 Data Set'!$B:$B,'FC1 Data Set'!N:N)</f>
        <v>0.60197047136234083</v>
      </c>
      <c r="N73" s="61">
        <f>_xlfn.XLOOKUP($A70,'FC1 Data Set'!$B:$B,'FC1 Data Set'!O:O)</f>
        <v>0.59671519835887621</v>
      </c>
      <c r="O73" s="61">
        <f>_xlfn.XLOOKUP($A70,'FC1 Data Set'!$B:$B,'FC1 Data Set'!P:P)</f>
        <v>0.59367869469519263</v>
      </c>
      <c r="P73" s="61">
        <f>_xlfn.XLOOKUP($A70,'FC1 Data Set'!$B:$B,'FC1 Data Set'!Q:Q)</f>
        <v>0.58159193676547638</v>
      </c>
      <c r="Q73" s="61">
        <f>_xlfn.XLOOKUP($A70,'FC1 Data Set'!$B:$B,'FC1 Data Set'!R:R)</f>
        <v>0.5816532551348077</v>
      </c>
      <c r="R73" s="61">
        <f>_xlfn.XLOOKUP($A70,'FC1 Data Set'!$B:$B,'FC1 Data Set'!S:S)</f>
        <v>0.56182852203331457</v>
      </c>
      <c r="S73" s="61">
        <f>_xlfn.XLOOKUP($A70,'FC1 Data Set'!$B:$B,'FC1 Data Set'!T:T)</f>
        <v>0.52824501570722349</v>
      </c>
      <c r="T73" s="61">
        <f>_xlfn.XLOOKUP($A70,'FC1 Data Set'!$B:$B,'FC1 Data Set'!U:U)</f>
        <v>0.51310150988179704</v>
      </c>
      <c r="U73" s="61">
        <f>_xlfn.XLOOKUP($A70,'FC1 Data Set'!$B:$B,'FC1 Data Set'!V:V)</f>
        <v>0.52059958135785311</v>
      </c>
      <c r="V73" s="61">
        <f>_xlfn.XLOOKUP($A70,'FC1 Data Set'!$B:$B,'FC1 Data Set'!W:W)</f>
        <v>0.53032023954561325</v>
      </c>
      <c r="W73" s="61">
        <f>_xlfn.XLOOKUP($A70,'FC1 Data Set'!$B:$B,'FC1 Data Set'!X:X)</f>
        <v>0.53362705854793857</v>
      </c>
      <c r="X73" s="61">
        <f>_xlfn.XLOOKUP($A70,'FC1 Data Set'!$B:$B,'FC1 Data Set'!Y:Y)</f>
        <v>0.52591835559431555</v>
      </c>
      <c r="Y73" s="61">
        <f>_xlfn.XLOOKUP($A70,'FC1 Data Set'!$B:$B,'FC1 Data Set'!Z:Z)</f>
        <v>0.51848486129182236</v>
      </c>
      <c r="Z73" s="61">
        <f>_xlfn.XLOOKUP($A70,'FC1 Data Set'!$B:$B,'FC1 Data Set'!AA:AA)</f>
        <v>0.50403038593931515</v>
      </c>
      <c r="AA73" s="61">
        <f>_xlfn.XLOOKUP($A70,'FC1 Data Set'!$B:$B,'FC1 Data Set'!AB:AB)</f>
        <v>0.49421425194985114</v>
      </c>
      <c r="AB73" s="61">
        <f>_xlfn.XLOOKUP($A70,'FC1 Data Set'!$B:$B,'FC1 Data Set'!AC:AC)</f>
        <v>0.48952926031073718</v>
      </c>
      <c r="AC73" s="61">
        <f>_xlfn.XLOOKUP($A70,'FC1 Data Set'!$B:$B,'FC1 Data Set'!AD:AD)</f>
        <v>0.49749327885723049</v>
      </c>
      <c r="AD73" s="61">
        <f>_xlfn.XLOOKUP($A70,'FC1 Data Set'!$B:$B,'FC1 Data Set'!AE:AE)</f>
        <v>0.50211058612928317</v>
      </c>
      <c r="AE73" s="61">
        <f>_xlfn.XLOOKUP($A70,'FC1 Data Set'!$B:$B,'FC1 Data Set'!AF:AF)</f>
        <v>0.50057875253886475</v>
      </c>
      <c r="AF73" s="61">
        <f>_xlfn.XLOOKUP($A70,'FC1 Data Set'!$B:$B,'FC1 Data Set'!AG:AG)</f>
        <v>0.48906768378456211</v>
      </c>
      <c r="AG73" s="61">
        <f>_xlfn.XLOOKUP($A70,'FC1 Data Set'!$B:$B,'FC1 Data Set'!AH:AH)</f>
        <v>0.4889365957307617</v>
      </c>
      <c r="AH73" s="61">
        <f>AVERAGE(H73:AG73)</f>
        <v>0.53906007856429905</v>
      </c>
    </row>
    <row r="87" spans="1:34" x14ac:dyDescent="0.25">
      <c r="A87" t="s">
        <v>90</v>
      </c>
      <c r="B87" s="169">
        <f>SUM(B93,B94)</f>
        <v>204615.35</v>
      </c>
      <c r="C87" s="169">
        <f t="shared" ref="C87:G87" si="5">SUM(C93,C94)</f>
        <v>204615.35</v>
      </c>
      <c r="D87" s="169">
        <f t="shared" si="5"/>
        <v>204615.35</v>
      </c>
      <c r="E87" s="169">
        <f t="shared" si="5"/>
        <v>204615.35</v>
      </c>
      <c r="F87" s="169">
        <f t="shared" si="5"/>
        <v>204615.35</v>
      </c>
      <c r="G87" s="169">
        <f t="shared" si="5"/>
        <v>204615.35</v>
      </c>
    </row>
    <row r="88" spans="1:34" x14ac:dyDescent="0.25">
      <c r="A88" t="s">
        <v>24</v>
      </c>
      <c r="B88" s="169">
        <f>SUM(B95:B96)</f>
        <v>148897</v>
      </c>
      <c r="C88" s="169">
        <f t="shared" ref="C88:G88" si="6">SUM(C95:C96)</f>
        <v>143924</v>
      </c>
      <c r="D88" s="169">
        <f t="shared" si="6"/>
        <v>142737</v>
      </c>
      <c r="E88" s="169">
        <f t="shared" si="6"/>
        <v>147818</v>
      </c>
      <c r="F88" s="169">
        <f t="shared" si="6"/>
        <v>145588</v>
      </c>
      <c r="G88" s="169">
        <f t="shared" si="6"/>
        <v>143845</v>
      </c>
    </row>
    <row r="89" spans="1:34" x14ac:dyDescent="0.25">
      <c r="A89" t="s">
        <v>91</v>
      </c>
      <c r="H89" s="169">
        <f>SUM(H98:H99)</f>
        <v>204615.35</v>
      </c>
      <c r="I89" s="169">
        <f t="shared" ref="I89:AG89" si="7">SUM(I98:I99)</f>
        <v>204615.35</v>
      </c>
      <c r="J89" s="169">
        <f t="shared" si="7"/>
        <v>204615.35</v>
      </c>
      <c r="K89" s="169">
        <f t="shared" si="7"/>
        <v>204615.35</v>
      </c>
      <c r="L89" s="169">
        <f t="shared" si="7"/>
        <v>204615.35</v>
      </c>
      <c r="M89" s="169">
        <f t="shared" si="7"/>
        <v>204615.35</v>
      </c>
      <c r="N89" s="169">
        <f t="shared" si="7"/>
        <v>204615.35</v>
      </c>
      <c r="O89" s="169">
        <f t="shared" si="7"/>
        <v>204615.35</v>
      </c>
      <c r="P89" s="169">
        <f t="shared" si="7"/>
        <v>204615.35</v>
      </c>
      <c r="Q89" s="169">
        <f t="shared" si="7"/>
        <v>204615.35</v>
      </c>
      <c r="R89" s="169">
        <f t="shared" si="7"/>
        <v>204615.35</v>
      </c>
      <c r="S89" s="169">
        <f t="shared" si="7"/>
        <v>204615.35</v>
      </c>
      <c r="T89" s="169">
        <f t="shared" si="7"/>
        <v>204615.35</v>
      </c>
      <c r="U89" s="169">
        <f t="shared" si="7"/>
        <v>204615.35</v>
      </c>
      <c r="V89" s="169">
        <f t="shared" si="7"/>
        <v>204615.35</v>
      </c>
      <c r="W89" s="169">
        <f t="shared" si="7"/>
        <v>204615.35</v>
      </c>
      <c r="X89" s="169">
        <f t="shared" si="7"/>
        <v>204615.35</v>
      </c>
      <c r="Y89" s="169">
        <f t="shared" si="7"/>
        <v>204615.35</v>
      </c>
      <c r="Z89" s="169">
        <f t="shared" si="7"/>
        <v>204615.35</v>
      </c>
      <c r="AA89" s="169">
        <f t="shared" si="7"/>
        <v>204615.35</v>
      </c>
      <c r="AB89" s="169">
        <f t="shared" si="7"/>
        <v>204615.35</v>
      </c>
      <c r="AC89" s="169">
        <f t="shared" si="7"/>
        <v>204615.35</v>
      </c>
      <c r="AD89" s="169">
        <f t="shared" si="7"/>
        <v>204615.35</v>
      </c>
      <c r="AE89" s="169">
        <f t="shared" si="7"/>
        <v>204615.35</v>
      </c>
      <c r="AF89" s="169">
        <f t="shared" si="7"/>
        <v>204615.35</v>
      </c>
      <c r="AG89" s="169">
        <f t="shared" si="7"/>
        <v>204615.35</v>
      </c>
    </row>
    <row r="90" spans="1:34" x14ac:dyDescent="0.25">
      <c r="A90" t="s">
        <v>92</v>
      </c>
      <c r="H90" s="169">
        <f>SUM(H100:H101)</f>
        <v>137630.01049999997</v>
      </c>
      <c r="I90" s="169">
        <f t="shared" ref="I90:AG90" si="8">SUM(I100:I101)</f>
        <v>136134.26238141203</v>
      </c>
      <c r="J90" s="169">
        <f t="shared" si="8"/>
        <v>132748.88510467374</v>
      </c>
      <c r="K90" s="169">
        <f t="shared" si="8"/>
        <v>131014.82608718269</v>
      </c>
      <c r="L90" s="169">
        <f t="shared" si="8"/>
        <v>130580.83289147263</v>
      </c>
      <c r="M90" s="169">
        <f t="shared" si="8"/>
        <v>129953.2661036952</v>
      </c>
      <c r="N90" s="169">
        <f t="shared" si="8"/>
        <v>126464.66356429426</v>
      </c>
      <c r="O90" s="169">
        <f t="shared" si="8"/>
        <v>125876.23363905106</v>
      </c>
      <c r="P90" s="169">
        <f t="shared" si="8"/>
        <v>123533.99702327572</v>
      </c>
      <c r="Q90" s="169">
        <f t="shared" si="8"/>
        <v>123545.87962493801</v>
      </c>
      <c r="R90" s="169">
        <f t="shared" si="8"/>
        <v>119704.13678220857</v>
      </c>
      <c r="S90" s="169">
        <f t="shared" si="8"/>
        <v>113196.14525457981</v>
      </c>
      <c r="T90" s="169">
        <f t="shared" si="8"/>
        <v>110261.5556779725</v>
      </c>
      <c r="U90" s="169">
        <f t="shared" si="8"/>
        <v>111714.57208328503</v>
      </c>
      <c r="V90" s="169">
        <f t="shared" si="8"/>
        <v>113598.29323243051</v>
      </c>
      <c r="W90" s="169">
        <f t="shared" si="8"/>
        <v>114239.10631018277</v>
      </c>
      <c r="X90" s="169">
        <f t="shared" si="8"/>
        <v>112745.2726102689</v>
      </c>
      <c r="Y90" s="169">
        <f t="shared" si="8"/>
        <v>111304.77031513726</v>
      </c>
      <c r="Z90" s="169">
        <f t="shared" si="8"/>
        <v>108503.70474988528</v>
      </c>
      <c r="AA90" s="169">
        <f t="shared" si="8"/>
        <v>106601.48178909009</v>
      </c>
      <c r="AB90" s="169">
        <f t="shared" si="8"/>
        <v>105693.59904455731</v>
      </c>
      <c r="AC90" s="169">
        <f t="shared" si="8"/>
        <v>107236.90916599601</v>
      </c>
      <c r="AD90" s="169">
        <f t="shared" si="8"/>
        <v>108131.67567176829</v>
      </c>
      <c r="AE90" s="169">
        <f t="shared" si="8"/>
        <v>107834.82876330731</v>
      </c>
      <c r="AF90" s="169">
        <f t="shared" si="8"/>
        <v>105604.1522758807</v>
      </c>
      <c r="AG90" s="169">
        <f t="shared" si="8"/>
        <v>105578.74933149417</v>
      </c>
    </row>
    <row r="92" spans="1:34" x14ac:dyDescent="0.25">
      <c r="A92" s="14"/>
      <c r="B92" s="9" t="str">
        <f>B41</f>
        <v>202631</v>
      </c>
      <c r="C92" s="9" t="str">
        <f t="shared" ref="C92:AG92" si="9">C41</f>
        <v>202632</v>
      </c>
      <c r="D92" s="9" t="str">
        <f t="shared" si="9"/>
        <v>202633</v>
      </c>
      <c r="E92" s="9" t="str">
        <f t="shared" si="9"/>
        <v>202634</v>
      </c>
      <c r="F92" s="9" t="str">
        <f t="shared" si="9"/>
        <v>202635</v>
      </c>
      <c r="G92" s="9" t="str">
        <f t="shared" si="9"/>
        <v>202636</v>
      </c>
      <c r="H92" s="9" t="str">
        <f t="shared" si="9"/>
        <v>202637</v>
      </c>
      <c r="I92" s="9" t="str">
        <f t="shared" si="9"/>
        <v>202638</v>
      </c>
      <c r="J92" s="9" t="str">
        <f t="shared" si="9"/>
        <v>202639</v>
      </c>
      <c r="K92" s="9" t="str">
        <f t="shared" si="9"/>
        <v>202640</v>
      </c>
      <c r="L92" s="9" t="str">
        <f t="shared" si="9"/>
        <v>202641</v>
      </c>
      <c r="M92" s="9" t="str">
        <f t="shared" si="9"/>
        <v>202642</v>
      </c>
      <c r="N92" s="9" t="str">
        <f t="shared" si="9"/>
        <v>202643</v>
      </c>
      <c r="O92" s="9" t="str">
        <f t="shared" si="9"/>
        <v>202644</v>
      </c>
      <c r="P92" s="9" t="str">
        <f t="shared" si="9"/>
        <v>202645</v>
      </c>
      <c r="Q92" s="9" t="str">
        <f t="shared" si="9"/>
        <v>202646</v>
      </c>
      <c r="R92" s="9" t="str">
        <f t="shared" si="9"/>
        <v>202647</v>
      </c>
      <c r="S92" s="9" t="str">
        <f t="shared" si="9"/>
        <v>202648</v>
      </c>
      <c r="T92" s="9" t="str">
        <f t="shared" si="9"/>
        <v>202649</v>
      </c>
      <c r="U92" s="9" t="str">
        <f t="shared" si="9"/>
        <v>202650</v>
      </c>
      <c r="V92" s="9" t="str">
        <f t="shared" si="9"/>
        <v>202651</v>
      </c>
      <c r="W92" s="9" t="str">
        <f t="shared" si="9"/>
        <v>202652</v>
      </c>
      <c r="X92" s="9" t="str">
        <f t="shared" si="9"/>
        <v>202653</v>
      </c>
      <c r="Y92" s="9" t="str">
        <f t="shared" si="9"/>
        <v>202701</v>
      </c>
      <c r="Z92" s="9" t="str">
        <f t="shared" si="9"/>
        <v>202702</v>
      </c>
      <c r="AA92" s="9" t="str">
        <f t="shared" si="9"/>
        <v>202703</v>
      </c>
      <c r="AB92" s="9" t="str">
        <f t="shared" si="9"/>
        <v>202704</v>
      </c>
      <c r="AC92" s="9" t="str">
        <f t="shared" si="9"/>
        <v>202705</v>
      </c>
      <c r="AD92" s="9" t="str">
        <f t="shared" si="9"/>
        <v>202706</v>
      </c>
      <c r="AE92" s="9" t="str">
        <f t="shared" si="9"/>
        <v>202707</v>
      </c>
      <c r="AF92" s="9" t="str">
        <f t="shared" si="9"/>
        <v>202708</v>
      </c>
      <c r="AG92" s="9" t="str">
        <f t="shared" si="9"/>
        <v>202709</v>
      </c>
      <c r="AH92" s="9" t="s">
        <v>53</v>
      </c>
    </row>
    <row r="93" spans="1:34" x14ac:dyDescent="0.25">
      <c r="A93" t="s">
        <v>79</v>
      </c>
      <c r="B93" s="135">
        <f>_xlfn.XLOOKUP($A93,'Act Data Set'!$B:$B,'Act Data Set'!C:C)</f>
        <v>10830</v>
      </c>
      <c r="C93" s="135">
        <f>_xlfn.XLOOKUP($A93,'Act Data Set'!$B:$B,'Act Data Set'!D:D)</f>
        <v>10830</v>
      </c>
      <c r="D93" s="135">
        <f>_xlfn.XLOOKUP($A93,'Act Data Set'!$B:$B,'Act Data Set'!E:E)</f>
        <v>10830</v>
      </c>
      <c r="E93" s="135">
        <f>_xlfn.XLOOKUP($A93,'Act Data Set'!$B:$B,'Act Data Set'!F:F)</f>
        <v>10830</v>
      </c>
      <c r="F93" s="135">
        <f>_xlfn.XLOOKUP($A93,'Act Data Set'!$B:$B,'Act Data Set'!G:G)</f>
        <v>10830</v>
      </c>
      <c r="G93" s="135">
        <f>_xlfn.XLOOKUP($A93,'Act Data Set'!$B:$B,'Act Data Set'!H:H)</f>
        <v>10830</v>
      </c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>
        <f>AVERAGE(B93:G93)</f>
        <v>10830</v>
      </c>
    </row>
    <row r="94" spans="1:34" x14ac:dyDescent="0.25">
      <c r="A94" t="s">
        <v>31</v>
      </c>
      <c r="B94" s="135">
        <f>_xlfn.XLOOKUP($A94,'Act Data Set'!$B:$B,'Act Data Set'!C:C)</f>
        <v>193785.35</v>
      </c>
      <c r="C94" s="135">
        <f>_xlfn.XLOOKUP($A94,'Act Data Set'!$B:$B,'Act Data Set'!D:D)</f>
        <v>193785.35</v>
      </c>
      <c r="D94" s="135">
        <f>_xlfn.XLOOKUP($A94,'Act Data Set'!$B:$B,'Act Data Set'!E:E)</f>
        <v>193785.35</v>
      </c>
      <c r="E94" s="135">
        <f>_xlfn.XLOOKUP($A94,'Act Data Set'!$B:$B,'Act Data Set'!F:F)</f>
        <v>193785.35</v>
      </c>
      <c r="F94" s="135">
        <f>_xlfn.XLOOKUP($A94,'Act Data Set'!$B:$B,'Act Data Set'!G:G)</f>
        <v>193785.35</v>
      </c>
      <c r="G94" s="135">
        <f>_xlfn.XLOOKUP($A94,'Act Data Set'!$B:$B,'Act Data Set'!H:H)</f>
        <v>193785.35</v>
      </c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>
        <f t="shared" ref="AH94:AH97" si="10">AVERAGE(B94:G94)</f>
        <v>193785.35</v>
      </c>
    </row>
    <row r="95" spans="1:34" x14ac:dyDescent="0.25">
      <c r="A95" t="s">
        <v>23</v>
      </c>
      <c r="B95" s="135">
        <f>_xlfn.XLOOKUP($A95,'Act Data Set'!$B:$B,'Act Data Set'!C:C)</f>
        <v>125185</v>
      </c>
      <c r="C95" s="135">
        <f>_xlfn.XLOOKUP($A95,'Act Data Set'!$B:$B,'Act Data Set'!D:D)</f>
        <v>122834</v>
      </c>
      <c r="D95" s="135">
        <f>_xlfn.XLOOKUP($A95,'Act Data Set'!$B:$B,'Act Data Set'!E:E)</f>
        <v>121419</v>
      </c>
      <c r="E95" s="135">
        <f>_xlfn.XLOOKUP($A95,'Act Data Set'!$B:$B,'Act Data Set'!F:F)</f>
        <v>118919</v>
      </c>
      <c r="F95" s="135">
        <f>_xlfn.XLOOKUP($A95,'Act Data Set'!$B:$B,'Act Data Set'!G:G)</f>
        <v>113098</v>
      </c>
      <c r="G95" s="135">
        <f>_xlfn.XLOOKUP($A95,'Act Data Set'!$B:$B,'Act Data Set'!H:H)</f>
        <v>110329</v>
      </c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>
        <f t="shared" si="10"/>
        <v>118630.66666666667</v>
      </c>
    </row>
    <row r="96" spans="1:34" x14ac:dyDescent="0.25">
      <c r="A96" t="s">
        <v>22</v>
      </c>
      <c r="B96" s="135">
        <f>_xlfn.XLOOKUP($A96,'Act Data Set'!$B:$B,'Act Data Set'!C:C)</f>
        <v>23712</v>
      </c>
      <c r="C96" s="135">
        <f>_xlfn.XLOOKUP($A96,'Act Data Set'!$B:$B,'Act Data Set'!D:D)</f>
        <v>21090</v>
      </c>
      <c r="D96" s="135">
        <f>_xlfn.XLOOKUP($A96,'Act Data Set'!$B:$B,'Act Data Set'!E:E)</f>
        <v>21318</v>
      </c>
      <c r="E96" s="135">
        <f>_xlfn.XLOOKUP($A96,'Act Data Set'!$B:$B,'Act Data Set'!F:F)</f>
        <v>28899</v>
      </c>
      <c r="F96" s="135">
        <f>_xlfn.XLOOKUP($A96,'Act Data Set'!$B:$B,'Act Data Set'!G:G)</f>
        <v>32490</v>
      </c>
      <c r="G96" s="135">
        <f>_xlfn.XLOOKUP($A96,'Act Data Set'!$B:$B,'Act Data Set'!H:H)</f>
        <v>33516</v>
      </c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>
        <f t="shared" si="10"/>
        <v>26837.5</v>
      </c>
    </row>
    <row r="97" spans="1:34" x14ac:dyDescent="0.25">
      <c r="A97" t="s">
        <v>80</v>
      </c>
      <c r="B97" s="125">
        <f>_xlfn.XLOOKUP($A97,'Act Data Set'!$B:$B,'Act Data Set'!C:C)</f>
        <v>0.72769222836898595</v>
      </c>
      <c r="C97" s="125">
        <f>_xlfn.XLOOKUP($A97,'Act Data Set'!$B:$B,'Act Data Set'!D:D)</f>
        <v>0.70338808891903759</v>
      </c>
      <c r="D97" s="125">
        <f>_xlfn.XLOOKUP($A97,'Act Data Set'!$B:$B,'Act Data Set'!E:E)</f>
        <v>0.69758696011809473</v>
      </c>
      <c r="E97" s="125">
        <f>_xlfn.XLOOKUP($A97,'Act Data Set'!$B:$B,'Act Data Set'!F:F)</f>
        <v>0.72241891920620815</v>
      </c>
      <c r="F97" s="125">
        <f>_xlfn.XLOOKUP($A97,'Act Data Set'!$B:$B,'Act Data Set'!G:G)</f>
        <v>0.71152042112187575</v>
      </c>
      <c r="G97" s="125">
        <f>_xlfn.XLOOKUP($A97,'Act Data Set'!$B:$B,'Act Data Set'!H:H)</f>
        <v>0.7030019986281576</v>
      </c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>
        <f t="shared" si="10"/>
        <v>0.71093476939372657</v>
      </c>
    </row>
    <row r="98" spans="1:34" x14ac:dyDescent="0.25">
      <c r="A98" t="s">
        <v>85</v>
      </c>
      <c r="H98" s="135">
        <f>_xlfn.XLOOKUP($A93,'FC1 Data Set'!$B:$B,'FC1 Data Set'!I:I)</f>
        <v>10830</v>
      </c>
      <c r="I98" s="135">
        <f>_xlfn.XLOOKUP($A93,'FC1 Data Set'!$B:$B,'FC1 Data Set'!J:J)</f>
        <v>10830</v>
      </c>
      <c r="J98" s="135">
        <f>_xlfn.XLOOKUP($A93,'FC1 Data Set'!$B:$B,'FC1 Data Set'!K:K)</f>
        <v>10830</v>
      </c>
      <c r="K98" s="135">
        <f>_xlfn.XLOOKUP($A93,'FC1 Data Set'!$B:$B,'FC1 Data Set'!L:L)</f>
        <v>10830</v>
      </c>
      <c r="L98" s="135">
        <f>_xlfn.XLOOKUP($A93,'FC1 Data Set'!$B:$B,'FC1 Data Set'!M:M)</f>
        <v>10830</v>
      </c>
      <c r="M98" s="135">
        <f>_xlfn.XLOOKUP($A93,'FC1 Data Set'!$B:$B,'FC1 Data Set'!N:N)</f>
        <v>10830</v>
      </c>
      <c r="N98" s="135">
        <f>_xlfn.XLOOKUP($A93,'FC1 Data Set'!$B:$B,'FC1 Data Set'!O:O)</f>
        <v>10830</v>
      </c>
      <c r="O98" s="135">
        <f>_xlfn.XLOOKUP($A93,'FC1 Data Set'!$B:$B,'FC1 Data Set'!P:P)</f>
        <v>10830</v>
      </c>
      <c r="P98" s="135">
        <f>_xlfn.XLOOKUP($A93,'FC1 Data Set'!$B:$B,'FC1 Data Set'!Q:Q)</f>
        <v>10830</v>
      </c>
      <c r="Q98" s="135">
        <f>_xlfn.XLOOKUP($A93,'FC1 Data Set'!$B:$B,'FC1 Data Set'!R:R)</f>
        <v>10830</v>
      </c>
      <c r="R98" s="135">
        <f>_xlfn.XLOOKUP($A93,'FC1 Data Set'!$B:$B,'FC1 Data Set'!S:S)</f>
        <v>10830</v>
      </c>
      <c r="S98" s="135">
        <f>_xlfn.XLOOKUP($A93,'FC1 Data Set'!$B:$B,'FC1 Data Set'!T:T)</f>
        <v>10830</v>
      </c>
      <c r="T98" s="135">
        <f>_xlfn.XLOOKUP($A93,'FC1 Data Set'!$B:$B,'FC1 Data Set'!U:U)</f>
        <v>10830</v>
      </c>
      <c r="U98" s="135">
        <f>_xlfn.XLOOKUP($A93,'FC1 Data Set'!$B:$B,'FC1 Data Set'!V:V)</f>
        <v>10830</v>
      </c>
      <c r="V98" s="135">
        <f>_xlfn.XLOOKUP($A93,'FC1 Data Set'!$B:$B,'FC1 Data Set'!W:W)</f>
        <v>10830</v>
      </c>
      <c r="W98" s="135">
        <f>_xlfn.XLOOKUP($A93,'FC1 Data Set'!$B:$B,'FC1 Data Set'!X:X)</f>
        <v>10830</v>
      </c>
      <c r="X98" s="135">
        <f>_xlfn.XLOOKUP($A93,'FC1 Data Set'!$B:$B,'FC1 Data Set'!Y:Y)</f>
        <v>10830</v>
      </c>
      <c r="Y98" s="135">
        <f>_xlfn.XLOOKUP($A93,'FC1 Data Set'!$B:$B,'FC1 Data Set'!Z:Z)</f>
        <v>10830</v>
      </c>
      <c r="Z98" s="135">
        <f>_xlfn.XLOOKUP($A93,'FC1 Data Set'!$B:$B,'FC1 Data Set'!AA:AA)</f>
        <v>10830</v>
      </c>
      <c r="AA98" s="135">
        <f>_xlfn.XLOOKUP($A93,'FC1 Data Set'!$B:$B,'FC1 Data Set'!AB:AB)</f>
        <v>10830</v>
      </c>
      <c r="AB98" s="135">
        <f>_xlfn.XLOOKUP($A93,'FC1 Data Set'!$B:$B,'FC1 Data Set'!AC:AC)</f>
        <v>10830</v>
      </c>
      <c r="AC98" s="135">
        <f>_xlfn.XLOOKUP($A93,'FC1 Data Set'!$B:$B,'FC1 Data Set'!AD:AD)</f>
        <v>10830</v>
      </c>
      <c r="AD98" s="135">
        <f>_xlfn.XLOOKUP($A93,'FC1 Data Set'!$B:$B,'FC1 Data Set'!AE:AE)</f>
        <v>10830</v>
      </c>
      <c r="AE98" s="135">
        <f>_xlfn.XLOOKUP($A93,'FC1 Data Set'!$B:$B,'FC1 Data Set'!AF:AF)</f>
        <v>10830</v>
      </c>
      <c r="AF98" s="135">
        <f>_xlfn.XLOOKUP($A93,'FC1 Data Set'!$B:$B,'FC1 Data Set'!AG:AG)</f>
        <v>10830</v>
      </c>
      <c r="AG98" s="135">
        <f>_xlfn.XLOOKUP($A93,'FC1 Data Set'!$B:$B,'FC1 Data Set'!AH:AH)</f>
        <v>10830</v>
      </c>
      <c r="AH98" s="135">
        <f>AVERAGE(H98:AG98)</f>
        <v>10830</v>
      </c>
    </row>
    <row r="99" spans="1:34" x14ac:dyDescent="0.25">
      <c r="A99" t="s">
        <v>86</v>
      </c>
      <c r="H99" s="135">
        <f>_xlfn.XLOOKUP($A94,'FC1 Data Set'!$B:$B,'FC1 Data Set'!I:I)</f>
        <v>193785.35</v>
      </c>
      <c r="I99" s="135">
        <f>_xlfn.XLOOKUP($A94,'FC1 Data Set'!$B:$B,'FC1 Data Set'!J:J)</f>
        <v>193785.35</v>
      </c>
      <c r="J99" s="135">
        <f>_xlfn.XLOOKUP($A94,'FC1 Data Set'!$B:$B,'FC1 Data Set'!K:K)</f>
        <v>193785.35</v>
      </c>
      <c r="K99" s="135">
        <f>_xlfn.XLOOKUP($A94,'FC1 Data Set'!$B:$B,'FC1 Data Set'!L:L)</f>
        <v>193785.35</v>
      </c>
      <c r="L99" s="135">
        <f>_xlfn.XLOOKUP($A94,'FC1 Data Set'!$B:$B,'FC1 Data Set'!M:M)</f>
        <v>193785.35</v>
      </c>
      <c r="M99" s="135">
        <f>_xlfn.XLOOKUP($A94,'FC1 Data Set'!$B:$B,'FC1 Data Set'!N:N)</f>
        <v>193785.35</v>
      </c>
      <c r="N99" s="135">
        <f>_xlfn.XLOOKUP($A94,'FC1 Data Set'!$B:$B,'FC1 Data Set'!O:O)</f>
        <v>193785.35</v>
      </c>
      <c r="O99" s="135">
        <f>_xlfn.XLOOKUP($A94,'FC1 Data Set'!$B:$B,'FC1 Data Set'!P:P)</f>
        <v>193785.35</v>
      </c>
      <c r="P99" s="135">
        <f>_xlfn.XLOOKUP($A94,'FC1 Data Set'!$B:$B,'FC1 Data Set'!Q:Q)</f>
        <v>193785.35</v>
      </c>
      <c r="Q99" s="135">
        <f>_xlfn.XLOOKUP($A94,'FC1 Data Set'!$B:$B,'FC1 Data Set'!R:R)</f>
        <v>193785.35</v>
      </c>
      <c r="R99" s="135">
        <f>_xlfn.XLOOKUP($A94,'FC1 Data Set'!$B:$B,'FC1 Data Set'!S:S)</f>
        <v>193785.35</v>
      </c>
      <c r="S99" s="135">
        <f>_xlfn.XLOOKUP($A94,'FC1 Data Set'!$B:$B,'FC1 Data Set'!T:T)</f>
        <v>193785.35</v>
      </c>
      <c r="T99" s="135">
        <f>_xlfn.XLOOKUP($A94,'FC1 Data Set'!$B:$B,'FC1 Data Set'!U:U)</f>
        <v>193785.35</v>
      </c>
      <c r="U99" s="135">
        <f>_xlfn.XLOOKUP($A94,'FC1 Data Set'!$B:$B,'FC1 Data Set'!V:V)</f>
        <v>193785.35</v>
      </c>
      <c r="V99" s="135">
        <f>_xlfn.XLOOKUP($A94,'FC1 Data Set'!$B:$B,'FC1 Data Set'!W:W)</f>
        <v>193785.35</v>
      </c>
      <c r="W99" s="135">
        <f>_xlfn.XLOOKUP($A94,'FC1 Data Set'!$B:$B,'FC1 Data Set'!X:X)</f>
        <v>193785.35</v>
      </c>
      <c r="X99" s="135">
        <f>_xlfn.XLOOKUP($A94,'FC1 Data Set'!$B:$B,'FC1 Data Set'!Y:Y)</f>
        <v>193785.35</v>
      </c>
      <c r="Y99" s="135">
        <f>_xlfn.XLOOKUP($A94,'FC1 Data Set'!$B:$B,'FC1 Data Set'!Z:Z)</f>
        <v>193785.35</v>
      </c>
      <c r="Z99" s="135">
        <f>_xlfn.XLOOKUP($A94,'FC1 Data Set'!$B:$B,'FC1 Data Set'!AA:AA)</f>
        <v>193785.35</v>
      </c>
      <c r="AA99" s="135">
        <f>_xlfn.XLOOKUP($A94,'FC1 Data Set'!$B:$B,'FC1 Data Set'!AB:AB)</f>
        <v>193785.35</v>
      </c>
      <c r="AB99" s="135">
        <f>_xlfn.XLOOKUP($A94,'FC1 Data Set'!$B:$B,'FC1 Data Set'!AC:AC)</f>
        <v>193785.35</v>
      </c>
      <c r="AC99" s="135">
        <f>_xlfn.XLOOKUP($A94,'FC1 Data Set'!$B:$B,'FC1 Data Set'!AD:AD)</f>
        <v>193785.35</v>
      </c>
      <c r="AD99" s="135">
        <f>_xlfn.XLOOKUP($A94,'FC1 Data Set'!$B:$B,'FC1 Data Set'!AE:AE)</f>
        <v>193785.35</v>
      </c>
      <c r="AE99" s="135">
        <f>_xlfn.XLOOKUP($A94,'FC1 Data Set'!$B:$B,'FC1 Data Set'!AF:AF)</f>
        <v>193785.35</v>
      </c>
      <c r="AF99" s="135">
        <f>_xlfn.XLOOKUP($A94,'FC1 Data Set'!$B:$B,'FC1 Data Set'!AG:AG)</f>
        <v>193785.35</v>
      </c>
      <c r="AG99" s="135">
        <f>_xlfn.XLOOKUP($A94,'FC1 Data Set'!$B:$B,'FC1 Data Set'!AH:AH)</f>
        <v>193785.35</v>
      </c>
      <c r="AH99" s="135">
        <f t="shared" ref="AH99:AH102" si="11">AVERAGE(H99:AG99)</f>
        <v>193785.34999999998</v>
      </c>
    </row>
    <row r="100" spans="1:34" x14ac:dyDescent="0.25">
      <c r="A100" t="s">
        <v>87</v>
      </c>
      <c r="H100" s="135">
        <f>_xlfn.XLOOKUP($A95,'FC1 Data Set'!$B:$B,'FC1 Data Set'!I:I)</f>
        <v>108095.05028344999</v>
      </c>
      <c r="I100" s="135">
        <f>_xlfn.XLOOKUP($A95,'FC1 Data Set'!$B:$B,'FC1 Data Set'!J:J)</f>
        <v>109356.94800768877</v>
      </c>
      <c r="J100" s="135">
        <f>_xlfn.XLOOKUP($A95,'FC1 Data Set'!$B:$B,'FC1 Data Set'!K:K)</f>
        <v>110508.2621230674</v>
      </c>
      <c r="K100" s="135">
        <f>_xlfn.XLOOKUP($A95,'FC1 Data Set'!$B:$B,'FC1 Data Set'!L:L)</f>
        <v>112193.83656268986</v>
      </c>
      <c r="L100" s="135">
        <f>_xlfn.XLOOKUP($A95,'FC1 Data Set'!$B:$B,'FC1 Data Set'!M:M)</f>
        <v>114433.71351674951</v>
      </c>
      <c r="M100" s="135">
        <f>_xlfn.XLOOKUP($A95,'FC1 Data Set'!$B:$B,'FC1 Data Set'!N:N)</f>
        <v>116653.05848261619</v>
      </c>
      <c r="N100" s="135">
        <f>_xlfn.XLOOKUP($A95,'FC1 Data Set'!$B:$B,'FC1 Data Set'!O:O)</f>
        <v>115634.66356429426</v>
      </c>
      <c r="O100" s="135">
        <f>_xlfn.XLOOKUP($A95,'FC1 Data Set'!$B:$B,'FC1 Data Set'!P:P)</f>
        <v>115046.23363905106</v>
      </c>
      <c r="P100" s="135">
        <f>_xlfn.XLOOKUP($A95,'FC1 Data Set'!$B:$B,'FC1 Data Set'!Q:Q)</f>
        <v>112703.99702327572</v>
      </c>
      <c r="Q100" s="135">
        <f>_xlfn.XLOOKUP($A95,'FC1 Data Set'!$B:$B,'FC1 Data Set'!R:R)</f>
        <v>112715.87962493801</v>
      </c>
      <c r="R100" s="135">
        <f>_xlfn.XLOOKUP($A95,'FC1 Data Set'!$B:$B,'FC1 Data Set'!S:S)</f>
        <v>108874.13678220857</v>
      </c>
      <c r="S100" s="135">
        <f>_xlfn.XLOOKUP($A95,'FC1 Data Set'!$B:$B,'FC1 Data Set'!T:T)</f>
        <v>102366.14525457981</v>
      </c>
      <c r="T100" s="135">
        <f>_xlfn.XLOOKUP($A95,'FC1 Data Set'!$B:$B,'FC1 Data Set'!U:U)</f>
        <v>99431.555677972501</v>
      </c>
      <c r="U100" s="135">
        <f>_xlfn.XLOOKUP($A95,'FC1 Data Set'!$B:$B,'FC1 Data Set'!V:V)</f>
        <v>100884.57208328503</v>
      </c>
      <c r="V100" s="135">
        <f>_xlfn.XLOOKUP($A95,'FC1 Data Set'!$B:$B,'FC1 Data Set'!W:W)</f>
        <v>102768.29323243051</v>
      </c>
      <c r="W100" s="135">
        <f>_xlfn.XLOOKUP($A95,'FC1 Data Set'!$B:$B,'FC1 Data Set'!X:X)</f>
        <v>103409.10631018277</v>
      </c>
      <c r="X100" s="135">
        <f>_xlfn.XLOOKUP($A95,'FC1 Data Set'!$B:$B,'FC1 Data Set'!Y:Y)</f>
        <v>101915.2726102689</v>
      </c>
      <c r="Y100" s="135">
        <f>_xlfn.XLOOKUP($A95,'FC1 Data Set'!$B:$B,'FC1 Data Set'!Z:Z)</f>
        <v>100474.77031513726</v>
      </c>
      <c r="Z100" s="135">
        <f>_xlfn.XLOOKUP($A95,'FC1 Data Set'!$B:$B,'FC1 Data Set'!AA:AA)</f>
        <v>97673.704749885277</v>
      </c>
      <c r="AA100" s="135">
        <f>_xlfn.XLOOKUP($A95,'FC1 Data Set'!$B:$B,'FC1 Data Set'!AB:AB)</f>
        <v>95771.481789090089</v>
      </c>
      <c r="AB100" s="135">
        <f>_xlfn.XLOOKUP($A95,'FC1 Data Set'!$B:$B,'FC1 Data Set'!AC:AC)</f>
        <v>94863.599044557312</v>
      </c>
      <c r="AC100" s="135">
        <f>_xlfn.XLOOKUP($A95,'FC1 Data Set'!$B:$B,'FC1 Data Set'!AD:AD)</f>
        <v>96406.90916599601</v>
      </c>
      <c r="AD100" s="135">
        <f>_xlfn.XLOOKUP($A95,'FC1 Data Set'!$B:$B,'FC1 Data Set'!AE:AE)</f>
        <v>97301.675671768287</v>
      </c>
      <c r="AE100" s="135">
        <f>_xlfn.XLOOKUP($A95,'FC1 Data Set'!$B:$B,'FC1 Data Set'!AF:AF)</f>
        <v>97004.828763307305</v>
      </c>
      <c r="AF100" s="135">
        <f>_xlfn.XLOOKUP($A95,'FC1 Data Set'!$B:$B,'FC1 Data Set'!AG:AG)</f>
        <v>94774.152275880697</v>
      </c>
      <c r="AG100" s="135">
        <f>_xlfn.XLOOKUP($A95,'FC1 Data Set'!$B:$B,'FC1 Data Set'!AH:AH)</f>
        <v>94748.749331494168</v>
      </c>
      <c r="AH100" s="135">
        <f t="shared" si="11"/>
        <v>104461.94599561022</v>
      </c>
    </row>
    <row r="101" spans="1:34" x14ac:dyDescent="0.25">
      <c r="A101" t="s">
        <v>88</v>
      </c>
      <c r="H101" s="135">
        <f>_xlfn.XLOOKUP($A96,'FC1 Data Set'!$B:$B,'FC1 Data Set'!I:I)</f>
        <v>29534.960216549996</v>
      </c>
      <c r="I101" s="135">
        <f>_xlfn.XLOOKUP($A96,'FC1 Data Set'!$B:$B,'FC1 Data Set'!J:J)</f>
        <v>26777.314373723268</v>
      </c>
      <c r="J101" s="135">
        <f>_xlfn.XLOOKUP($A96,'FC1 Data Set'!$B:$B,'FC1 Data Set'!K:K)</f>
        <v>22240.622981606346</v>
      </c>
      <c r="K101" s="135">
        <f>_xlfn.XLOOKUP($A96,'FC1 Data Set'!$B:$B,'FC1 Data Set'!L:L)</f>
        <v>18820.98952449283</v>
      </c>
      <c r="L101" s="135">
        <f>_xlfn.XLOOKUP($A96,'FC1 Data Set'!$B:$B,'FC1 Data Set'!M:M)</f>
        <v>16147.119374723115</v>
      </c>
      <c r="M101" s="135">
        <f>_xlfn.XLOOKUP($A96,'FC1 Data Set'!$B:$B,'FC1 Data Set'!N:N)</f>
        <v>13300.207621079007</v>
      </c>
      <c r="N101" s="135">
        <f>_xlfn.XLOOKUP($A96,'FC1 Data Set'!$B:$B,'FC1 Data Set'!O:O)</f>
        <v>10830.000000000004</v>
      </c>
      <c r="O101" s="135">
        <f>_xlfn.XLOOKUP($A96,'FC1 Data Set'!$B:$B,'FC1 Data Set'!P:P)</f>
        <v>10830</v>
      </c>
      <c r="P101" s="135">
        <f>_xlfn.XLOOKUP($A96,'FC1 Data Set'!$B:$B,'FC1 Data Set'!Q:Q)</f>
        <v>10830</v>
      </c>
      <c r="Q101" s="135">
        <f>_xlfn.XLOOKUP($A96,'FC1 Data Set'!$B:$B,'FC1 Data Set'!R:R)</f>
        <v>10830.000000000002</v>
      </c>
      <c r="R101" s="135">
        <f>_xlfn.XLOOKUP($A96,'FC1 Data Set'!$B:$B,'FC1 Data Set'!S:S)</f>
        <v>10829.999999999998</v>
      </c>
      <c r="S101" s="135">
        <f>_xlfn.XLOOKUP($A96,'FC1 Data Set'!$B:$B,'FC1 Data Set'!T:T)</f>
        <v>10829.999999999998</v>
      </c>
      <c r="T101" s="135">
        <f>_xlfn.XLOOKUP($A96,'FC1 Data Set'!$B:$B,'FC1 Data Set'!U:U)</f>
        <v>10829.999999999998</v>
      </c>
      <c r="U101" s="135">
        <f>_xlfn.XLOOKUP($A96,'FC1 Data Set'!$B:$B,'FC1 Data Set'!V:V)</f>
        <v>10830</v>
      </c>
      <c r="V101" s="135">
        <f>_xlfn.XLOOKUP($A96,'FC1 Data Set'!$B:$B,'FC1 Data Set'!W:W)</f>
        <v>10830.000000000002</v>
      </c>
      <c r="W101" s="135">
        <f>_xlfn.XLOOKUP($A96,'FC1 Data Set'!$B:$B,'FC1 Data Set'!X:X)</f>
        <v>10830.000000000002</v>
      </c>
      <c r="X101" s="135">
        <f>_xlfn.XLOOKUP($A96,'FC1 Data Set'!$B:$B,'FC1 Data Set'!Y:Y)</f>
        <v>10830</v>
      </c>
      <c r="Y101" s="135">
        <f>_xlfn.XLOOKUP($A96,'FC1 Data Set'!$B:$B,'FC1 Data Set'!Z:Z)</f>
        <v>10830</v>
      </c>
      <c r="Z101" s="135">
        <f>_xlfn.XLOOKUP($A96,'FC1 Data Set'!$B:$B,'FC1 Data Set'!AA:AA)</f>
        <v>10830.000000000002</v>
      </c>
      <c r="AA101" s="135">
        <f>_xlfn.XLOOKUP($A96,'FC1 Data Set'!$B:$B,'FC1 Data Set'!AB:AB)</f>
        <v>10830.000000000002</v>
      </c>
      <c r="AB101" s="135">
        <f>_xlfn.XLOOKUP($A96,'FC1 Data Set'!$B:$B,'FC1 Data Set'!AC:AC)</f>
        <v>10829.999999999998</v>
      </c>
      <c r="AC101" s="135">
        <f>_xlfn.XLOOKUP($A96,'FC1 Data Set'!$B:$B,'FC1 Data Set'!AD:AD)</f>
        <v>10829.999999999998</v>
      </c>
      <c r="AD101" s="135">
        <f>_xlfn.XLOOKUP($A96,'FC1 Data Set'!$B:$B,'FC1 Data Set'!AE:AE)</f>
        <v>10829.999999999996</v>
      </c>
      <c r="AE101" s="135">
        <f>_xlfn.XLOOKUP($A96,'FC1 Data Set'!$B:$B,'FC1 Data Set'!AF:AF)</f>
        <v>10829.999999999995</v>
      </c>
      <c r="AF101" s="135">
        <f>_xlfn.XLOOKUP($A96,'FC1 Data Set'!$B:$B,'FC1 Data Set'!AG:AG)</f>
        <v>10829.999999999995</v>
      </c>
      <c r="AG101" s="135">
        <f>_xlfn.XLOOKUP($A96,'FC1 Data Set'!$B:$B,'FC1 Data Set'!AH:AH)</f>
        <v>10829.999999999995</v>
      </c>
      <c r="AH101" s="135">
        <f t="shared" si="11"/>
        <v>13208.508234314408</v>
      </c>
    </row>
    <row r="102" spans="1:34" x14ac:dyDescent="0.25">
      <c r="A102" t="s">
        <v>89</v>
      </c>
      <c r="H102" s="125">
        <f>_xlfn.XLOOKUP($A97,'FC1 Data Set'!$B:$B,'FC1 Data Set'!I:I)</f>
        <v>0.67262798465511009</v>
      </c>
      <c r="I102" s="125">
        <f>_xlfn.XLOOKUP($A97,'FC1 Data Set'!$B:$B,'FC1 Data Set'!J:J)</f>
        <v>0.66531793622234126</v>
      </c>
      <c r="J102" s="125">
        <f>_xlfn.XLOOKUP($A97,'FC1 Data Set'!$B:$B,'FC1 Data Set'!K:K)</f>
        <v>0.64877285650697147</v>
      </c>
      <c r="K102" s="125">
        <f>_xlfn.XLOOKUP($A97,'FC1 Data Set'!$B:$B,'FC1 Data Set'!L:L)</f>
        <v>0.64029813055170437</v>
      </c>
      <c r="L102" s="125">
        <f>_xlfn.XLOOKUP($A97,'FC1 Data Set'!$B:$B,'FC1 Data Set'!M:M)</f>
        <v>0.63817711081535489</v>
      </c>
      <c r="M102" s="125">
        <f>_xlfn.XLOOKUP($A97,'FC1 Data Set'!$B:$B,'FC1 Data Set'!N:N)</f>
        <v>0.63511005456675274</v>
      </c>
      <c r="N102" s="125">
        <f>_xlfn.XLOOKUP($A97,'FC1 Data Set'!$B:$B,'FC1 Data Set'!O:O)</f>
        <v>0.61806049039964139</v>
      </c>
      <c r="O102" s="125">
        <f>_xlfn.XLOOKUP($A97,'FC1 Data Set'!$B:$B,'FC1 Data Set'!P:P)</f>
        <v>0.61518470456420327</v>
      </c>
      <c r="P102" s="125">
        <f>_xlfn.XLOOKUP($A97,'FC1 Data Set'!$B:$B,'FC1 Data Set'!Q:Q)</f>
        <v>0.60373768157313568</v>
      </c>
      <c r="Q102" s="125">
        <f>_xlfn.XLOOKUP($A97,'FC1 Data Set'!$B:$B,'FC1 Data Set'!R:R)</f>
        <v>0.60379575444822686</v>
      </c>
      <c r="R102" s="125">
        <f>_xlfn.XLOOKUP($A97,'FC1 Data Set'!$B:$B,'FC1 Data Set'!S:S)</f>
        <v>0.58502031632626084</v>
      </c>
      <c r="S102" s="125">
        <f>_xlfn.XLOOKUP($A97,'FC1 Data Set'!$B:$B,'FC1 Data Set'!T:T)</f>
        <v>0.55321433731428171</v>
      </c>
      <c r="T102" s="125">
        <f>_xlfn.XLOOKUP($A97,'FC1 Data Set'!$B:$B,'FC1 Data Set'!U:U)</f>
        <v>0.53887235575421144</v>
      </c>
      <c r="U102" s="125">
        <f>_xlfn.XLOOKUP($A97,'FC1 Data Set'!$B:$B,'FC1 Data Set'!V:V)</f>
        <v>0.54597356495143223</v>
      </c>
      <c r="V102" s="125">
        <f>_xlfn.XLOOKUP($A97,'FC1 Data Set'!$B:$B,'FC1 Data Set'!W:W)</f>
        <v>0.55517972250092928</v>
      </c>
      <c r="W102" s="125">
        <f>_xlfn.XLOOKUP($A97,'FC1 Data Set'!$B:$B,'FC1 Data Set'!X:X)</f>
        <v>0.55831151626787912</v>
      </c>
      <c r="X102" s="125">
        <f>_xlfn.XLOOKUP($A97,'FC1 Data Set'!$B:$B,'FC1 Data Set'!Y:Y)</f>
        <v>0.55101082401818291</v>
      </c>
      <c r="Y102" s="125">
        <f>_xlfn.XLOOKUP($A97,'FC1 Data Set'!$B:$B,'FC1 Data Set'!Z:Z)</f>
        <v>0.54397077401640326</v>
      </c>
      <c r="Z102" s="125">
        <f>_xlfn.XLOOKUP($A97,'FC1 Data Set'!$B:$B,'FC1 Data Set'!AA:AA)</f>
        <v>0.53028135352448036</v>
      </c>
      <c r="AA102" s="125">
        <f>_xlfn.XLOOKUP($A97,'FC1 Data Set'!$B:$B,'FC1 Data Set'!AB:AB)</f>
        <v>0.52098477357192452</v>
      </c>
      <c r="AB102" s="125">
        <f>_xlfn.XLOOKUP($A97,'FC1 Data Set'!$B:$B,'FC1 Data Set'!AC:AC)</f>
        <v>0.51654775188937341</v>
      </c>
      <c r="AC102" s="125">
        <f>_xlfn.XLOOKUP($A97,'FC1 Data Set'!$B:$B,'FC1 Data Set'!AD:AD)</f>
        <v>0.52409024624005973</v>
      </c>
      <c r="AD102" s="125">
        <f>_xlfn.XLOOKUP($A97,'FC1 Data Set'!$B:$B,'FC1 Data Set'!AE:AE)</f>
        <v>0.52846316599301213</v>
      </c>
      <c r="AE102" s="125">
        <f>_xlfn.XLOOKUP($A97,'FC1 Data Set'!$B:$B,'FC1 Data Set'!AF:AF)</f>
        <v>0.52701241017991707</v>
      </c>
      <c r="AF102" s="125">
        <f>_xlfn.XLOOKUP($A97,'FC1 Data Set'!$B:$B,'FC1 Data Set'!AG:AG)</f>
        <v>0.51611060595346681</v>
      </c>
      <c r="AG102" s="125">
        <f>_xlfn.XLOOKUP($A97,'FC1 Data Set'!$B:$B,'FC1 Data Set'!AH:AH)</f>
        <v>0.5159864562042592</v>
      </c>
      <c r="AH102" s="125">
        <f t="shared" si="11"/>
        <v>0.57508126457728914</v>
      </c>
    </row>
  </sheetData>
  <pageMargins left="0.7" right="0.7" top="0.75" bottom="0.75" header="0.3" footer="0.3"/>
  <pageSetup paperSize="9" orientation="portrait" verticalDpi="0" r:id="rId1"/>
  <headerFooter>
    <oddFooter>&amp;C_x000D_&amp;1#&amp;"Noto IKEA Latin"&amp;8&amp;K5A5A5A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F2A2D5-0DE1-481D-B3BC-3CBDF18C276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f945650-ec40-41a9-9362-7e2addda4452}" enabled="1" method="Standard" siteId="{a33c6ac4-a52e-45c5-af07-b972df9bd00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Labels</vt:lpstr>
      <vt:lpstr>Overview_Report</vt:lpstr>
      <vt:lpstr>Paste Here</vt:lpstr>
      <vt:lpstr>Sheet1</vt:lpstr>
      <vt:lpstr>Act Data Set</vt:lpstr>
      <vt:lpstr>FC1 Data Set</vt:lpstr>
      <vt:lpstr>Inflow</vt:lpstr>
      <vt:lpstr>Outflow</vt:lpstr>
      <vt:lpstr>Handling +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Connor Watts</cp:lastModifiedBy>
  <dcterms:created xsi:type="dcterms:W3CDTF">2019-12-05T17:53:57Z</dcterms:created>
  <dcterms:modified xsi:type="dcterms:W3CDTF">2026-09-14T11:38:58Z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945650-ec40-41a9-9362-7e2addda4452_Enabled">
    <vt:lpwstr>true</vt:lpwstr>
  </property>
  <property fmtid="{D5CDD505-2E9C-101B-9397-08002B2CF9AE}" pid="3" name="MSIP_Label_0f945650-ec40-41a9-9362-7e2addda4452_SetDate">
    <vt:lpwstr>2022-12-01T10:59:13Z</vt:lpwstr>
  </property>
  <property fmtid="{D5CDD505-2E9C-101B-9397-08002B2CF9AE}" pid="4" name="MSIP_Label_0f945650-ec40-41a9-9362-7e2addda4452_Method">
    <vt:lpwstr>Standard</vt:lpwstr>
  </property>
  <property fmtid="{D5CDD505-2E9C-101B-9397-08002B2CF9AE}" pid="5" name="MSIP_Label_0f945650-ec40-41a9-9362-7e2addda4452_Name">
    <vt:lpwstr>Internal</vt:lpwstr>
  </property>
  <property fmtid="{D5CDD505-2E9C-101B-9397-08002B2CF9AE}" pid="6" name="MSIP_Label_0f945650-ec40-41a9-9362-7e2addda4452_SiteId">
    <vt:lpwstr>a33c6ac4-a52e-45c5-af07-b972df9bd004</vt:lpwstr>
  </property>
  <property fmtid="{D5CDD505-2E9C-101B-9397-08002B2CF9AE}" pid="7" name="MSIP_Label_0f945650-ec40-41a9-9362-7e2addda4452_ActionId">
    <vt:lpwstr>5f13d9a7-7568-4969-a534-31b3d458edda</vt:lpwstr>
  </property>
  <property fmtid="{D5CDD505-2E9C-101B-9397-08002B2CF9AE}" pid="8" name="MSIP_Label_0f945650-ec40-41a9-9362-7e2addda4452_ContentBits">
    <vt:lpwstr>2</vt:lpwstr>
  </property>
</Properties>
</file>